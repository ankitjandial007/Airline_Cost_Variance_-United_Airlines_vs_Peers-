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rline Cost Project\"/>
    </mc:Choice>
  </mc:AlternateContent>
  <xr:revisionPtr revIDLastSave="0" documentId="13_ncr:1_{0ECE9CF9-89EE-414A-895B-DFB5C7CBB30B}" xr6:coauthVersionLast="47" xr6:coauthVersionMax="47" xr10:uidLastSave="{00000000-0000-0000-0000-000000000000}"/>
  <bookViews>
    <workbookView xWindow="-120" yWindow="-120" windowWidth="29040" windowHeight="16440" tabRatio="761" firstSheet="1" activeTab="1" xr2:uid="{85B0E924-7907-4B8C-B8B7-97F983B112FE}"/>
  </bookViews>
  <sheets>
    <sheet name="Raw" sheetId="1" r:id="rId1"/>
    <sheet name="Clean" sheetId="2" r:id="rId2"/>
    <sheet name="Summary" sheetId="4" r:id="rId3"/>
    <sheet name="UA_Lines" sheetId="5" r:id="rId4"/>
    <sheet name="Recon" sheetId="3" r:id="rId5"/>
    <sheet name="Variance" sheetId="6" r:id="rId6"/>
    <sheet name="Peers" sheetId="7" r:id="rId7"/>
    <sheet name="Fuel" sheetId="8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7" i="8" l="1"/>
  <c r="K7" i="8"/>
  <c r="L7" i="8"/>
  <c r="L5" i="8"/>
  <c r="F5" i="8"/>
  <c r="G5" i="8"/>
  <c r="H5" i="8"/>
  <c r="I5" i="8"/>
  <c r="J5" i="8"/>
  <c r="K5" i="8"/>
  <c r="M5" i="8" s="1"/>
  <c r="F6" i="8"/>
  <c r="G6" i="8"/>
  <c r="H6" i="8"/>
  <c r="I6" i="8"/>
  <c r="J6" i="8"/>
  <c r="K6" i="8"/>
  <c r="M6" i="8" s="1"/>
  <c r="L6" i="8"/>
  <c r="F7" i="8"/>
  <c r="G7" i="8"/>
  <c r="H7" i="8"/>
  <c r="I7" i="8"/>
  <c r="J7" i="8"/>
  <c r="K4" i="8"/>
  <c r="M4" i="8"/>
  <c r="L4" i="8"/>
  <c r="J4" i="8"/>
  <c r="I4" i="8"/>
  <c r="H4" i="8"/>
  <c r="G4" i="8"/>
  <c r="F4" i="8"/>
  <c r="G4" i="7"/>
  <c r="G5" i="7"/>
  <c r="G6" i="7"/>
  <c r="G7" i="7"/>
  <c r="F4" i="7"/>
  <c r="F5" i="7"/>
  <c r="F6" i="7"/>
  <c r="F7" i="7"/>
  <c r="E4" i="7"/>
  <c r="E5" i="7"/>
  <c r="E6" i="7"/>
  <c r="E7" i="7"/>
  <c r="D5" i="7"/>
  <c r="D6" i="7"/>
  <c r="D7" i="7"/>
  <c r="D4" i="7"/>
  <c r="C5" i="7"/>
  <c r="C6" i="7"/>
  <c r="C7" i="7"/>
  <c r="C4" i="7"/>
  <c r="B5" i="7"/>
  <c r="B6" i="7"/>
  <c r="B7" i="7"/>
  <c r="B4" i="7"/>
  <c r="C14" i="6"/>
  <c r="C13" i="6"/>
  <c r="C12" i="6"/>
  <c r="C11" i="6"/>
  <c r="C10" i="6"/>
  <c r="C9" i="6"/>
  <c r="C7" i="6"/>
  <c r="C6" i="6"/>
  <c r="C5" i="6"/>
  <c r="B14" i="6"/>
  <c r="B13" i="6"/>
  <c r="B12" i="6"/>
  <c r="B11" i="6"/>
  <c r="B10" i="6"/>
  <c r="B9" i="6"/>
  <c r="B7" i="6"/>
  <c r="B8" i="6" s="1"/>
  <c r="B15" i="6" s="1"/>
  <c r="B16" i="6" s="1"/>
  <c r="B6" i="6"/>
  <c r="B5" i="6"/>
  <c r="C4" i="3"/>
  <c r="E4" i="3" s="1"/>
  <c r="C3" i="3"/>
  <c r="E3" i="3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2" i="2"/>
  <c r="D14" i="6" l="1"/>
  <c r="D13" i="6"/>
  <c r="E13" i="6" s="1"/>
  <c r="D6" i="6"/>
  <c r="D11" i="6"/>
  <c r="E11" i="6" s="1"/>
  <c r="D12" i="6"/>
  <c r="E12" i="6" s="1"/>
  <c r="D9" i="6"/>
  <c r="E9" i="6" s="1"/>
  <c r="D5" i="6"/>
  <c r="D10" i="6"/>
  <c r="E10" i="6" s="1"/>
  <c r="E14" i="6"/>
  <c r="C8" i="6"/>
  <c r="D7" i="6"/>
  <c r="E6" i="6"/>
  <c r="E5" i="6"/>
  <c r="F4" i="3"/>
  <c r="F3" i="3"/>
  <c r="D8" i="6" l="1"/>
  <c r="E8" i="6" s="1"/>
  <c r="C15" i="6"/>
  <c r="E7" i="6"/>
  <c r="D15" i="6" l="1"/>
  <c r="C16" i="6"/>
  <c r="F5" i="6" l="1"/>
  <c r="F10" i="6"/>
  <c r="F11" i="6"/>
  <c r="F12" i="6"/>
  <c r="F13" i="6"/>
  <c r="F9" i="6"/>
  <c r="E15" i="6"/>
  <c r="F15" i="6"/>
  <c r="F7" i="6"/>
  <c r="F14" i="6"/>
  <c r="F6" i="6"/>
  <c r="F8" i="6"/>
</calcChain>
</file>

<file path=xl/sharedStrings.xml><?xml version="1.0" encoding="utf-8"?>
<sst xmlns="http://schemas.openxmlformats.org/spreadsheetml/2006/main" count="4243" uniqueCount="216">
  <si>
    <t>SALARIES_MGT</t>
  </si>
  <si>
    <t>SALARIES_FLIGHT</t>
  </si>
  <si>
    <t>SALARIES_MAINT</t>
  </si>
  <si>
    <t>SALARIES_TRAFFIC</t>
  </si>
  <si>
    <t>SALARIES_OTHER</t>
  </si>
  <si>
    <t>SALARIES</t>
  </si>
  <si>
    <t>BENEFITS_PERSONNEL</t>
  </si>
  <si>
    <t>BENEFITS_PENSIONS</t>
  </si>
  <si>
    <t>BENEFITS_PAYROLL</t>
  </si>
  <si>
    <t>BENEFITS</t>
  </si>
  <si>
    <t>SALARIES_BENEFITS</t>
  </si>
  <si>
    <t>AIRCRAFT_FUEL</t>
  </si>
  <si>
    <t>MAINT_MATERIAL</t>
  </si>
  <si>
    <t>FOOD</t>
  </si>
  <si>
    <t>OTHER_MATERIALS</t>
  </si>
  <si>
    <t>MATERIALS_TOTAL</t>
  </si>
  <si>
    <t>ADVERTISING</t>
  </si>
  <si>
    <t>COMMUNICATION</t>
  </si>
  <si>
    <t>INSURANCE</t>
  </si>
  <si>
    <t>OUTSIDE_EQUIP</t>
  </si>
  <si>
    <t>COMMISIONS_PAX</t>
  </si>
  <si>
    <t>COMMISSIONS_CARGO</t>
  </si>
  <si>
    <t>OTHER_SERVICES</t>
  </si>
  <si>
    <t>SERVICES_TOTAL</t>
  </si>
  <si>
    <t>LANDING_FEES</t>
  </si>
  <si>
    <t>RENTALS</t>
  </si>
  <si>
    <t>DEPRECIATION</t>
  </si>
  <si>
    <t>AMORTIZATION</t>
  </si>
  <si>
    <t>OTHER</t>
  </si>
  <si>
    <t>TRANS_EXPENSE</t>
  </si>
  <si>
    <t>OP_EXPENSE</t>
  </si>
  <si>
    <t>AIRLINE_ID</t>
  </si>
  <si>
    <t>UNIQUE_CARRIER</t>
  </si>
  <si>
    <t>UNIQUE_CARRIER_NAME</t>
  </si>
  <si>
    <t>CARRIER</t>
  </si>
  <si>
    <t>CARRIER_NAME</t>
  </si>
  <si>
    <t>UNIQUE_CARRIER_ENTITY</t>
  </si>
  <si>
    <t>REGION</t>
  </si>
  <si>
    <t>CARRIER_GROUP_NEW</t>
  </si>
  <si>
    <t>CARRIER_GROUP</t>
  </si>
  <si>
    <t>YEAR</t>
  </si>
  <si>
    <t>QUARTER</t>
  </si>
  <si>
    <t>1EQ</t>
  </si>
  <si>
    <t>KaiserAir, Inc.</t>
  </si>
  <si>
    <t>D</t>
  </si>
  <si>
    <t>KLQ</t>
  </si>
  <si>
    <t>Kalitta Charters II</t>
  </si>
  <si>
    <t>I</t>
  </si>
  <si>
    <t>QX</t>
  </si>
  <si>
    <t>Horizon Air</t>
  </si>
  <si>
    <t>L</t>
  </si>
  <si>
    <t>PO</t>
  </si>
  <si>
    <t>Polar Air Cargo Airways</t>
  </si>
  <si>
    <t>A</t>
  </si>
  <si>
    <t>YX</t>
  </si>
  <si>
    <t>Republic Airline</t>
  </si>
  <si>
    <t>L2</t>
  </si>
  <si>
    <t>Lynden Air Cargo Airlines</t>
  </si>
  <si>
    <t>N8</t>
  </si>
  <si>
    <t>National Air Cargo Group Inc d/ba National Airlines</t>
  </si>
  <si>
    <t>5X</t>
  </si>
  <si>
    <t>United Parcel Service</t>
  </si>
  <si>
    <t>G7</t>
  </si>
  <si>
    <t>GoJet Airlines LLC d/b/a United Express</t>
  </si>
  <si>
    <t>P</t>
  </si>
  <si>
    <t>OH</t>
  </si>
  <si>
    <t>PSA Airlines Inc.</t>
  </si>
  <si>
    <t>YV</t>
  </si>
  <si>
    <t>Mesa Airlines Inc.</t>
  </si>
  <si>
    <t>X9</t>
  </si>
  <si>
    <t>Omni Air International LLC</t>
  </si>
  <si>
    <t>WL</t>
  </si>
  <si>
    <t>Caribbean Sun Airlines, Inc. d/b/a World Atlantic Airlines</t>
  </si>
  <si>
    <t>C5</t>
  </si>
  <si>
    <t>CommuteAir LLC dba CommuteAir</t>
  </si>
  <si>
    <t>ABX</t>
  </si>
  <si>
    <t>ABX Air Inc</t>
  </si>
  <si>
    <t>9E</t>
  </si>
  <si>
    <t>Endeavor Air Inc.</t>
  </si>
  <si>
    <t>3M</t>
  </si>
  <si>
    <t>Silver Airways</t>
  </si>
  <si>
    <t>KAQ</t>
  </si>
  <si>
    <t>Kalitta Air LLC</t>
  </si>
  <si>
    <t>WI</t>
  </si>
  <si>
    <t>Sky Lease Cargo</t>
  </si>
  <si>
    <t>8C</t>
  </si>
  <si>
    <t>Air Transport International</t>
  </si>
  <si>
    <t>U7</t>
  </si>
  <si>
    <t>USA Jet Airlines Inc.</t>
  </si>
  <si>
    <t>GFQ</t>
  </si>
  <si>
    <t>Gulf And Caribbean Cargo</t>
  </si>
  <si>
    <t>1BQ</t>
  </si>
  <si>
    <t>Eastern Airlines f/k/a Dynamic Airways, LLC</t>
  </si>
  <si>
    <t>SY</t>
  </si>
  <si>
    <t>Sun Country Airlines d/b/a MN Airlines</t>
  </si>
  <si>
    <t>B6</t>
  </si>
  <si>
    <t>JetBlue Airways</t>
  </si>
  <si>
    <t>M6</t>
  </si>
  <si>
    <t>Amerijet International</t>
  </si>
  <si>
    <t>WN</t>
  </si>
  <si>
    <t>Southwest Airlines Co.</t>
  </si>
  <si>
    <t>5V</t>
  </si>
  <si>
    <t>Tatonduk Outfitters Limited d/b/a Everts Air Alaska and Everts Air Cargo</t>
  </si>
  <si>
    <t>OO</t>
  </si>
  <si>
    <t>SkyWest Airlines Inc.</t>
  </si>
  <si>
    <t>AA</t>
  </si>
  <si>
    <t>American Airlines Inc.</t>
  </si>
  <si>
    <t>AS</t>
  </si>
  <si>
    <t>Alaska Airlines Inc.</t>
  </si>
  <si>
    <t>PFQ</t>
  </si>
  <si>
    <t>Asia Pacific</t>
  </si>
  <si>
    <t>KH</t>
  </si>
  <si>
    <t>Aloha Air Cargo</t>
  </si>
  <si>
    <t>37Q</t>
  </si>
  <si>
    <t>Eastern Air Express, LLC (EAX)</t>
  </si>
  <si>
    <t>S</t>
  </si>
  <si>
    <t>PT</t>
  </si>
  <si>
    <t>Piedmont Airlines</t>
  </si>
  <si>
    <t>NC</t>
  </si>
  <si>
    <t>Northern Air Cargo Inc.</t>
  </si>
  <si>
    <t>KD</t>
  </si>
  <si>
    <t>Western Global</t>
  </si>
  <si>
    <t>F9</t>
  </si>
  <si>
    <t>Frontier Airlines Inc.</t>
  </si>
  <si>
    <t>ZW</t>
  </si>
  <si>
    <t>Air Wisconsin Airlines Corp</t>
  </si>
  <si>
    <t>HA</t>
  </si>
  <si>
    <t>Hawaiian Airlines Inc.</t>
  </si>
  <si>
    <t>NK</t>
  </si>
  <si>
    <t>Spirit Air Lines</t>
  </si>
  <si>
    <t>MQ</t>
  </si>
  <si>
    <t>Envoy Air</t>
  </si>
  <si>
    <t>MX</t>
  </si>
  <si>
    <t>Breeze Aviation Group DBA  Breeze</t>
  </si>
  <si>
    <t>DL</t>
  </si>
  <si>
    <t>Delta Air Lines Inc.</t>
  </si>
  <si>
    <t>G4</t>
  </si>
  <si>
    <t>Allegiant Air</t>
  </si>
  <si>
    <t>2PQ</t>
  </si>
  <si>
    <t>21 Air LLC</t>
  </si>
  <si>
    <t>5Y</t>
  </si>
  <si>
    <t>Atlas Air Inc.</t>
  </si>
  <si>
    <t>UA</t>
  </si>
  <si>
    <t>United Air Lines Inc.</t>
  </si>
  <si>
    <t>FX</t>
  </si>
  <si>
    <t>Federal Express Corporation</t>
  </si>
  <si>
    <t>GCA</t>
  </si>
  <si>
    <t>Global Crossing Airlines, Inc.</t>
  </si>
  <si>
    <t>0A050</t>
  </si>
  <si>
    <t>XP</t>
  </si>
  <si>
    <t>TEM Enterprises dba  Avelo Airlines</t>
  </si>
  <si>
    <t>0A875</t>
  </si>
  <si>
    <t>09Q</t>
  </si>
  <si>
    <t>Swift Air, LLC d/b/a Eastern Air Lines d/b/a Eastern</t>
  </si>
  <si>
    <t>Row Labels</t>
  </si>
  <si>
    <t>Grand Total</t>
  </si>
  <si>
    <t>Column Labels</t>
  </si>
  <si>
    <t>Sum of OP_EXPENSE</t>
  </si>
  <si>
    <t>% Change</t>
  </si>
  <si>
    <t>Sum of SALARIES_BENEFITS</t>
  </si>
  <si>
    <t>Sum of AIRCRAFT_FUEL</t>
  </si>
  <si>
    <t>Sum of MAINT_MATERIAL</t>
  </si>
  <si>
    <t>Sum of SERVICES_TOTAL</t>
  </si>
  <si>
    <t>Sum of LANDING_FEES</t>
  </si>
  <si>
    <t>Sum of RENTALS</t>
  </si>
  <si>
    <t>Sum of DEPRECIATION</t>
  </si>
  <si>
    <t>Sum of OTHER</t>
  </si>
  <si>
    <t>Sum of TRANS_EXPENSE</t>
  </si>
  <si>
    <t>Values</t>
  </si>
  <si>
    <t>Check</t>
  </si>
  <si>
    <t>Year</t>
  </si>
  <si>
    <t>Form 41 total ($mm)</t>
  </si>
  <si>
    <t>10-K total ($mm)</t>
  </si>
  <si>
    <t>Difference</t>
  </si>
  <si>
    <t>Difference %</t>
  </si>
  <si>
    <t>Cost line, 2025 ($mm)</t>
  </si>
  <si>
    <t>Form 41</t>
  </si>
  <si>
    <t>10-K</t>
  </si>
  <si>
    <t>Aircraft fuel</t>
  </si>
  <si>
    <t>Salaries &amp; benefits</t>
  </si>
  <si>
    <t>Operating cost variance: 2025 vs 2024 (USD millions)</t>
  </si>
  <si>
    <t>Airline</t>
  </si>
  <si>
    <t>Airline_list</t>
  </si>
  <si>
    <t>Cost line</t>
  </si>
  <si>
    <t>Variance $</t>
  </si>
  <si>
    <t>Variance %</t>
  </si>
  <si>
    <t>Share of total change</t>
  </si>
  <si>
    <t>Other materials</t>
  </si>
  <si>
    <t xml:space="preserve"> Services</t>
  </si>
  <si>
    <t xml:space="preserve">Landing fees </t>
  </si>
  <si>
    <t>Rentals</t>
  </si>
  <si>
    <t xml:space="preserve">Maintenance materials </t>
  </si>
  <si>
    <t xml:space="preserve"> Depreciation &amp; amortization </t>
  </si>
  <si>
    <t xml:space="preserve"> Check vs reported total</t>
  </si>
  <si>
    <t xml:space="preserve">Total </t>
  </si>
  <si>
    <t>Other</t>
  </si>
  <si>
    <t>Transport-related</t>
  </si>
  <si>
    <t>Cost growth 2025 vs 2024: United vs peers</t>
  </si>
  <si>
    <t>OP_EX 2024($mm)</t>
  </si>
  <si>
    <t>OP_EX 2025($mm)</t>
  </si>
  <si>
    <t>Total cost growth</t>
  </si>
  <si>
    <t>Non-fuel cost growth</t>
  </si>
  <si>
    <t>Labor cost growth</t>
  </si>
  <si>
    <t>Fuel cost change</t>
  </si>
  <si>
    <t>Fuel expense 2024 ($mm)</t>
  </si>
  <si>
    <t>Fuel expense 2025 ($mm)</t>
  </si>
  <si>
    <t>Gallons 2024 (mm)</t>
  </si>
  <si>
    <t>Gallons 2025 (mm)</t>
  </si>
  <si>
    <t>Source: FY2025 Form 10-K of each airline. WN gallons derived as fuel expense / reported cost per gallon ($2.64 in 2024, $2.41 in 2025).</t>
  </si>
  <si>
    <t>Price 2024 ($/gal)</t>
  </si>
  <si>
    <t>Price 2025 ($/gal)</t>
  </si>
  <si>
    <t>Gallons change</t>
  </si>
  <si>
    <t>Price change</t>
  </si>
  <si>
    <t>Total fuel change ($mm)</t>
  </si>
  <si>
    <t>Volume effect ($mm)</t>
  </si>
  <si>
    <t>Price effect ($mm)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</si>
</sst>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10" fontId="0" fillId="0" borderId="0" xfId="0" applyNumberFormat="1"/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165" fontId="0" fillId="0" borderId="1" xfId="1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64" fontId="0" fillId="0" borderId="0" xfId="1" applyNumberFormat="1" applyFont="1"/>
    <xf numFmtId="4" fontId="4" fillId="0" borderId="0" xfId="0" applyNumberFormat="1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5">
    <dxf>
      <numFmt numFmtId="3" formatCode="#,##0"/>
    </dxf>
    <dxf>
      <numFmt numFmtId="14" formatCode="0.00%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kit" refreshedDate="46306.913058333332" createdVersion="8" refreshedVersion="8" minRefreshableVersion="3" recordCount="112" xr:uid="{54C7D7F4-095B-4C47-9740-E752882121E1}">
  <cacheSource type="worksheet">
    <worksheetSource name="Clean_table"/>
  </cacheSource>
  <cacheFields count="16">
    <cacheField name="SALARIES_BENEFITS" numFmtId="4">
      <sharedItems containsSemiMixedTypes="0" containsString="0" containsNumber="1" minValue="77.414000000000001" maxValue="3690.1010000000001"/>
    </cacheField>
    <cacheField name="AIRCRAFT_FUEL" numFmtId="4">
      <sharedItems containsSemiMixedTypes="0" containsString="0" containsNumber="1" minValue="28.884" maxValue="1551.99629"/>
    </cacheField>
    <cacheField name="MAINT_MATERIAL" numFmtId="4">
      <sharedItems containsSemiMixedTypes="0" containsString="0" containsNumber="1" minValue="2.3330000000000002" maxValue="232.02049"/>
    </cacheField>
    <cacheField name="MATERIALS_TOTAL" numFmtId="4">
      <sharedItems containsSemiMixedTypes="0" containsString="0" containsNumber="1" minValue="32.094999999999999" maxValue="2074.0949999999998"/>
    </cacheField>
    <cacheField name="SERVICES_TOTAL" numFmtId="4">
      <sharedItems containsSemiMixedTypes="0" containsString="0" containsNumber="1" minValue="19.239000000000001" maxValue="1622.251"/>
    </cacheField>
    <cacheField name="LANDING_FEES" numFmtId="4">
      <sharedItems containsSemiMixedTypes="0" containsString="0" containsNumber="1" minValue="4.68" maxValue="269.00076000000001"/>
    </cacheField>
    <cacheField name="RENTALS" numFmtId="4">
      <sharedItems containsSemiMixedTypes="0" containsString="0" containsNumber="1" minValue="9.3239999999999998" maxValue="571.50377000000003"/>
    </cacheField>
    <cacheField name="DEPRECIATION" numFmtId="4">
      <sharedItems containsSemiMixedTypes="0" containsString="0" containsNumber="1" minValue="7.8860000000000001" maxValue="415.32400000000001"/>
    </cacheField>
    <cacheField name="AMORTIZATION" numFmtId="4">
      <sharedItems containsSemiMixedTypes="0" containsString="0" containsNumber="1" minValue="0.23599999999999999" maxValue="81.042000000000002"/>
    </cacheField>
    <cacheField name="OTHER" numFmtId="4">
      <sharedItems containsSemiMixedTypes="0" containsString="0" containsNumber="1" minValue="-27.629000000000001" maxValue="447.73239000000001"/>
    </cacheField>
    <cacheField name="TRANS_EXPENSE" numFmtId="4">
      <sharedItems containsSemiMixedTypes="0" containsString="0" containsNumber="1" minValue="0.89" maxValue="2532.1190000000001"/>
    </cacheField>
    <cacheField name="OP_EXPENSE" numFmtId="4">
      <sharedItems containsSemiMixedTypes="0" containsString="0" containsNumber="1" minValue="152.75299999999999" maxValue="10809.633"/>
    </cacheField>
    <cacheField name="UNIQUE_CARRIER" numFmtId="0">
      <sharedItems count="4">
        <s v="WN"/>
        <s v="AA"/>
        <s v="DL"/>
        <s v="UA"/>
      </sharedItems>
    </cacheField>
    <cacheField name="REGION" numFmtId="0">
      <sharedItems/>
    </cacheField>
    <cacheField name="YEAR" numFmtId="0">
      <sharedItems containsSemiMixedTypes="0" containsString="0" containsNumber="1" containsInteger="1" minValue="2024" maxValue="2025" count="2">
        <n v="2025"/>
        <n v="2024"/>
      </sharedItems>
    </cacheField>
    <cacheField name="QUARTER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">
  <r>
    <n v="81.516000000000005"/>
    <n v="31.867000000000001"/>
    <n v="2.3330000000000002"/>
    <n v="35.271999999999998"/>
    <n v="20.821000000000002"/>
    <n v="5.0389999999999997"/>
    <n v="10.58"/>
    <n v="9.2789999999999999"/>
    <n v="0.25600000000000001"/>
    <n v="1.827"/>
    <n v="0.89700000000000002"/>
    <n v="165.48699999999999"/>
    <x v="0"/>
    <s v="L"/>
    <x v="0"/>
    <n v="3"/>
  </r>
  <r>
    <n v="101.65900000000001"/>
    <n v="38.914999999999999"/>
    <n v="3.2170000000000001"/>
    <n v="43.072000000000003"/>
    <n v="26.870999999999999"/>
    <n v="5.8090000000000002"/>
    <n v="13.786"/>
    <n v="12.111000000000001"/>
    <n v="0.34799999999999998"/>
    <n v="2.25"/>
    <n v="1.24"/>
    <n v="207.14599999999999"/>
    <x v="0"/>
    <s v="L"/>
    <x v="0"/>
    <n v="1"/>
  </r>
  <r>
    <n v="77.414000000000001"/>
    <n v="28.884"/>
    <n v="2.3540000000000001"/>
    <n v="32.094999999999999"/>
    <n v="19.239000000000001"/>
    <n v="4.68"/>
    <n v="9.3239999999999998"/>
    <n v="7.8860000000000001"/>
    <n v="0.23599999999999999"/>
    <n v="0.68300000000000005"/>
    <n v="1.196"/>
    <n v="152.75299999999999"/>
    <x v="0"/>
    <s v="L"/>
    <x v="0"/>
    <n v="4"/>
  </r>
  <r>
    <n v="178.90812"/>
    <n v="89.995320000000007"/>
    <n v="13.233469999999999"/>
    <n v="117.06041"/>
    <n v="79.694210000000012"/>
    <n v="11.41169"/>
    <n v="34.627029999999998"/>
    <n v="17.045080000000002"/>
    <n v="0.87880999999999998"/>
    <n v="4.2291099999999995"/>
    <n v="1.3375299999999999"/>
    <n v="445.19200000000001"/>
    <x v="1"/>
    <s v="P"/>
    <x v="0"/>
    <n v="3"/>
  </r>
  <r>
    <n v="169.47782999999998"/>
    <n v="84.920880000000011"/>
    <n v="10.71022"/>
    <n v="108.97581"/>
    <n v="74.960909999999998"/>
    <n v="10.726379999999999"/>
    <n v="32.844850000000001"/>
    <n v="16.461490000000001"/>
    <n v="0.83774999999999999"/>
    <n v="6.1122700000000005"/>
    <n v="1.5353399999999999"/>
    <n v="421.93261999999999"/>
    <x v="1"/>
    <s v="P"/>
    <x v="0"/>
    <n v="2"/>
  </r>
  <r>
    <n v="108.53700000000001"/>
    <n v="41.795000000000002"/>
    <n v="2.9060000000000001"/>
    <n v="45.923999999999999"/>
    <n v="28.954999999999998"/>
    <n v="6.4530000000000003"/>
    <n v="14.766999999999999"/>
    <n v="12.334"/>
    <n v="0.34"/>
    <n v="2.6859999999999999"/>
    <n v="1.2649999999999999"/>
    <n v="221.261"/>
    <x v="0"/>
    <s v="L"/>
    <x v="0"/>
    <n v="2"/>
  </r>
  <r>
    <n v="239.03989999999999"/>
    <n v="115.49131"/>
    <n v="18.294550000000001"/>
    <n v="152.73651999999998"/>
    <n v="99.105500000000006"/>
    <n v="13.765940000000001"/>
    <n v="46.043330000000005"/>
    <n v="23.36872"/>
    <n v="1.46356"/>
    <n v="10.81574"/>
    <n v="1.8436900000000001"/>
    <n v="588.18290000000002"/>
    <x v="1"/>
    <s v="P"/>
    <x v="0"/>
    <n v="1"/>
  </r>
  <r>
    <n v="240.58501000000001"/>
    <n v="113.5232"/>
    <n v="16.305340000000001"/>
    <n v="148.76953"/>
    <n v="104.47232000000001"/>
    <n v="14.998389999999999"/>
    <n v="42.858530000000002"/>
    <n v="22.360569999999999"/>
    <n v="1.2313699999999999"/>
    <n v="10.07666"/>
    <n v="2.3102499999999999"/>
    <n v="587.66264000000001"/>
    <x v="1"/>
    <s v="P"/>
    <x v="0"/>
    <n v="4"/>
  </r>
  <r>
    <n v="578.07659000000001"/>
    <n v="294.97843999999998"/>
    <n v="43.696510000000004"/>
    <n v="384.63860999999997"/>
    <n v="241.32104000000001"/>
    <n v="33.58522"/>
    <n v="111.24760000000001"/>
    <n v="56.645629999999997"/>
    <n v="3.4925000000000002"/>
    <n v="26.522819999999999"/>
    <n v="4.5176000000000007"/>
    <n v="1440.0476000000001"/>
    <x v="1"/>
    <s v="A"/>
    <x v="0"/>
    <n v="1"/>
  </r>
  <r>
    <n v="584.60262999999998"/>
    <n v="259.21664000000004"/>
    <n v="43.487519999999996"/>
    <n v="348.18865"/>
    <n v="260.41439000000003"/>
    <n v="37.463089999999994"/>
    <n v="112.694"/>
    <n v="55.371319999999997"/>
    <n v="2.86354"/>
    <n v="14.89166"/>
    <n v="4.6433900000000001"/>
    <n v="1421.1326799999999"/>
    <x v="1"/>
    <s v="L"/>
    <x v="0"/>
    <n v="3"/>
  </r>
  <r>
    <n v="632.39317000000005"/>
    <n v="274.02526"/>
    <n v="39.994039999999998"/>
    <n v="363.83062000000001"/>
    <n v="279.91389000000004"/>
    <n v="40.029699999999998"/>
    <n v="122.57464999999999"/>
    <n v="61.437940000000005"/>
    <n v="3.1265999999999998"/>
    <n v="23.002590000000001"/>
    <n v="5.7388999999999992"/>
    <n v="1532.0480600000001"/>
    <x v="1"/>
    <s v="L"/>
    <x v="0"/>
    <n v="2"/>
  </r>
  <r>
    <n v="844.17226000000005"/>
    <n v="370.95715999999999"/>
    <n v="64.140979999999999"/>
    <n v="502.12477000000001"/>
    <n v="351.29690999999997"/>
    <n v="48.846580000000003"/>
    <n v="162.54506000000001"/>
    <n v="82.643070000000009"/>
    <n v="5.1325099999999999"/>
    <n v="38.453400000000002"/>
    <n v="6.5630100000000002"/>
    <n v="2041.77756"/>
    <x v="1"/>
    <s v="L"/>
    <x v="0"/>
    <n v="1"/>
  </r>
  <r>
    <n v="719.53890999999999"/>
    <n v="364.71570000000003"/>
    <n v="48.618639999999999"/>
    <n v="470.37839000000002"/>
    <n v="315.61462999999998"/>
    <n v="45.465050000000005"/>
    <n v="131.08702"/>
    <n v="67.024299999999997"/>
    <n v="3.6659099999999998"/>
    <n v="29.474419999999999"/>
    <n v="6.65754"/>
    <n v="1788.90616"/>
    <x v="1"/>
    <s v="A"/>
    <x v="0"/>
    <n v="4"/>
  </r>
  <r>
    <n v="760.30829000000006"/>
    <n v="318.86424"/>
    <n v="51.536580000000001"/>
    <n v="430.16273999999999"/>
    <n v="329.39724999999999"/>
    <n v="47.26455"/>
    <n v="134.71849"/>
    <n v="70.655929999999998"/>
    <n v="3.8962500000000002"/>
    <n v="31.910130000000002"/>
    <n v="7.3477200000000007"/>
    <n v="1815.6613400000001"/>
    <x v="1"/>
    <s v="L"/>
    <x v="0"/>
    <n v="4"/>
  </r>
  <r>
    <n v="1025.3916999999999"/>
    <n v="526.79988000000003"/>
    <n v="76.088130000000007"/>
    <n v="682.39657"/>
    <n v="456.88877000000002"/>
    <n v="65.569679999999991"/>
    <n v="198.28807999999998"/>
    <n v="97.539199999999994"/>
    <n v="5.03308"/>
    <n v="24.923599999999997"/>
    <n v="7.8646199999999995"/>
    <n v="2563.8952999999997"/>
    <x v="1"/>
    <s v="A"/>
    <x v="0"/>
    <n v="3"/>
  </r>
  <r>
    <n v="904.95313999999996"/>
    <n v="455.27641"/>
    <n v="57.368480000000005"/>
    <n v="583.93218000000002"/>
    <n v="400.93923999999998"/>
    <n v="57.319900000000004"/>
    <n v="175.43185999999997"/>
    <n v="87.88327000000001"/>
    <n v="4.4833500000000006"/>
    <n v="33.334699999999998"/>
    <n v="8.2029099999999993"/>
    <n v="2256.4805499999998"/>
    <x v="1"/>
    <s v="A"/>
    <x v="0"/>
    <n v="2"/>
  </r>
  <r>
    <n v="290.24200000000002"/>
    <n v="164.233"/>
    <n v="11.867000000000001"/>
    <n v="204.59399999999999"/>
    <n v="118.60299999999999"/>
    <n v="16.763000000000002"/>
    <n v="38.515000000000001"/>
    <n v="22.539000000000001"/>
    <n v="4.2619999999999996"/>
    <n v="7.6779999999999999"/>
    <n v="16.015000000000001"/>
    <n v="719.21100000000001"/>
    <x v="2"/>
    <s v="P"/>
    <x v="0"/>
    <n v="3"/>
  </r>
  <r>
    <n v="291.83699999999999"/>
    <n v="137.14400000000001"/>
    <n v="15.819000000000001"/>
    <n v="182.02"/>
    <n v="134.15"/>
    <n v="17.094000000000001"/>
    <n v="41.475000000000001"/>
    <n v="31.423999999999999"/>
    <n v="5.9390000000000001"/>
    <n v="7.8769999999999998"/>
    <n v="40.085999999999999"/>
    <n v="751.90200000000004"/>
    <x v="2"/>
    <s v="L"/>
    <x v="0"/>
    <n v="3"/>
  </r>
  <r>
    <n v="295.01299999999998"/>
    <n v="152.76300000000001"/>
    <n v="8.7260000000000009"/>
    <n v="190.887"/>
    <n v="122.95099999999999"/>
    <n v="16.504000000000001"/>
    <n v="38.582000000000001"/>
    <n v="21.535"/>
    <n v="3.927"/>
    <n v="8.2569999999999997"/>
    <n v="15.249000000000001"/>
    <n v="712.90499999999997"/>
    <x v="2"/>
    <s v="P"/>
    <x v="0"/>
    <n v="2"/>
  </r>
  <r>
    <n v="337.55399999999997"/>
    <n v="175.79400000000001"/>
    <n v="11.712999999999999"/>
    <n v="219.89500000000001"/>
    <n v="129.489"/>
    <n v="18.5"/>
    <n v="44.204000000000001"/>
    <n v="25.902999999999999"/>
    <n v="5.056"/>
    <n v="7.8680000000000003"/>
    <n v="18.597999999999999"/>
    <n v="807.06700000000001"/>
    <x v="2"/>
    <s v="P"/>
    <x v="0"/>
    <n v="4"/>
  </r>
  <r>
    <n v="301.22899999999998"/>
    <n v="180.66200000000001"/>
    <n v="13.818"/>
    <n v="227.47800000000001"/>
    <n v="130.76900000000001"/>
    <n v="16.440999999999999"/>
    <n v="44.703000000000003"/>
    <n v="26.413"/>
    <n v="4.9969999999999999"/>
    <n v="8.4879999999999995"/>
    <n v="16.37"/>
    <n v="776.88800000000003"/>
    <x v="2"/>
    <s v="P"/>
    <x v="0"/>
    <n v="1"/>
  </r>
  <r>
    <n v="357.32100000000003"/>
    <n v="160.22900000000001"/>
    <n v="14.276999999999999"/>
    <n v="208.92400000000001"/>
    <n v="164.84299999999999"/>
    <n v="19.315999999999999"/>
    <n v="48.722000000000001"/>
    <n v="38.511000000000003"/>
    <n v="7.0250000000000004"/>
    <n v="9.7780000000000005"/>
    <n v="37.868000000000002"/>
    <n v="892.30799999999999"/>
    <x v="2"/>
    <s v="L"/>
    <x v="0"/>
    <n v="2"/>
  </r>
  <r>
    <n v="380.84800000000001"/>
    <n v="162.51900000000001"/>
    <n v="17.052"/>
    <n v="216.67699999999999"/>
    <n v="162.655"/>
    <n v="21.195"/>
    <n v="53.268999999999998"/>
    <n v="39.859000000000002"/>
    <n v="7.7809999999999997"/>
    <n v="9.0760000000000005"/>
    <n v="40.529000000000003"/>
    <n v="931.88900000000001"/>
    <x v="2"/>
    <s v="L"/>
    <x v="0"/>
    <n v="4"/>
  </r>
  <r>
    <n v="519.94439999999997"/>
    <n v="281.84402"/>
    <n v="23.196169999999999"/>
    <n v="348.80784"/>
    <n v="234.56819000000002"/>
    <n v="35.491990000000001"/>
    <n v="59.579550000000005"/>
    <n v="76.544269999999997"/>
    <n v="2.6435200000000001"/>
    <n v="2.3098000000000001"/>
    <n v="64.027630000000002"/>
    <n v="1343.9171899999999"/>
    <x v="3"/>
    <s v="L"/>
    <x v="0"/>
    <n v="1"/>
  </r>
  <r>
    <n v="449.95537999999999"/>
    <n v="226.58160000000001"/>
    <n v="18.426580000000001"/>
    <n v="286.54052000000001"/>
    <n v="200.38239000000002"/>
    <n v="31.393990000000002"/>
    <n v="54.523440000000001"/>
    <n v="57.990790000000004"/>
    <n v="2.2980100000000001"/>
    <n v="10.239450000000001"/>
    <n v="61.555990000000001"/>
    <n v="1154.87996"/>
    <x v="3"/>
    <s v="L"/>
    <x v="0"/>
    <n v="3"/>
  </r>
  <r>
    <n v="499.6438"/>
    <n v="249.83115000000001"/>
    <n v="25.353770000000001"/>
    <n v="322.47665000000001"/>
    <n v="231.98237"/>
    <n v="33.868660000000006"/>
    <n v="63.752580000000002"/>
    <n v="66.453050000000005"/>
    <n v="3.26953"/>
    <n v="10.294979999999999"/>
    <n v="65.57987"/>
    <n v="1297.3214800000001"/>
    <x v="3"/>
    <s v="L"/>
    <x v="0"/>
    <n v="4"/>
  </r>
  <r>
    <n v="516.24"/>
    <n v="256.18700000000001"/>
    <n v="30.879000000000001"/>
    <n v="344.70600000000002"/>
    <n v="253.67599999999999"/>
    <n v="28.702999999999999"/>
    <n v="82.391999999999996"/>
    <n v="62.29"/>
    <n v="11.784000000000001"/>
    <n v="14.95"/>
    <n v="45.185000000000002"/>
    <n v="1359.9259999999999"/>
    <x v="2"/>
    <s v="L"/>
    <x v="0"/>
    <n v="1"/>
  </r>
  <r>
    <n v="475.49718000000001"/>
    <n v="239.30747"/>
    <n v="21.425249999999998"/>
    <n v="304.31657000000001"/>
    <n v="204.88541000000001"/>
    <n v="32.670970000000004"/>
    <n v="60.423639999999999"/>
    <n v="64.036839999999998"/>
    <n v="2.2880199999999999"/>
    <n v="56.400460000000002"/>
    <n v="62.633230000000005"/>
    <n v="1263.1523099999999"/>
    <x v="3"/>
    <s v="L"/>
    <x v="0"/>
    <n v="2"/>
  </r>
  <r>
    <n v="582.97"/>
    <n v="372.65300000000002"/>
    <n v="29.123000000000001"/>
    <n v="468.76"/>
    <n v="269.464"/>
    <n v="33.371000000000002"/>
    <n v="91.43"/>
    <n v="56.186999999999998"/>
    <n v="10.629"/>
    <n v="17.25"/>
    <n v="27.149000000000001"/>
    <n v="1557.21"/>
    <x v="2"/>
    <s v="A"/>
    <x v="0"/>
    <n v="1"/>
  </r>
  <r>
    <n v="590.80408999999997"/>
    <n v="422.11396000000002"/>
    <n v="19.626990000000003"/>
    <n v="519.39337999999998"/>
    <n v="300.21134999999998"/>
    <n v="21.99193"/>
    <n v="31.48068"/>
    <n v="92.762470000000008"/>
    <n v="3.3463699999999998"/>
    <n v="-3.0637300000000001"/>
    <n v="33.023060000000001"/>
    <n v="1589.9495900000002"/>
    <x v="3"/>
    <s v="P"/>
    <x v="0"/>
    <n v="1"/>
  </r>
  <r>
    <n v="2823.0512799999997"/>
    <n v="1290.74352"/>
    <n v="213.39985000000001"/>
    <n v="1728.3947599999999"/>
    <n v="1176.7360000000001"/>
    <n v="163.68492000000001"/>
    <n v="543.75351000000001"/>
    <n v="276.68052"/>
    <n v="17.122250000000001"/>
    <n v="128.59542999999999"/>
    <n v="1889.0367699999999"/>
    <n v="8747.0554200000006"/>
    <x v="1"/>
    <s v="D"/>
    <x v="0"/>
    <n v="1"/>
  </r>
  <r>
    <n v="631.33695"/>
    <n v="462.17576000000003"/>
    <n v="25.397759999999998"/>
    <n v="575.97069999999997"/>
    <n v="389.64391999999998"/>
    <n v="39.609989999999996"/>
    <n v="38.401940000000003"/>
    <n v="116.04958999999999"/>
    <n v="3.5445199999999999"/>
    <n v="-8.7779999999999997E-2"/>
    <n v="34.126519999999999"/>
    <n v="1828.5963400000001"/>
    <x v="3"/>
    <s v="A"/>
    <x v="0"/>
    <n v="1"/>
  </r>
  <r>
    <n v="2941.3616000000002"/>
    <n v="1355.0522699999999"/>
    <n v="218.07936999999998"/>
    <n v="1801.1344199999999"/>
    <n v="1310.2508600000001"/>
    <n v="187.97904"/>
    <n v="568.35118"/>
    <n v="279.55728999999997"/>
    <n v="14.431520000000001"/>
    <n v="71.751410000000007"/>
    <n v="1915.6464599999999"/>
    <n v="9090.46378"/>
    <x v="1"/>
    <s v="D"/>
    <x v="0"/>
    <n v="3"/>
  </r>
  <r>
    <n v="533.79141000000004"/>
    <n v="381.96406000000002"/>
    <n v="13.944739999999999"/>
    <n v="472.90159999999997"/>
    <n v="209.77432000000002"/>
    <n v="22.848569999999999"/>
    <n v="25.751049999999999"/>
    <n v="76.466619999999992"/>
    <n v="2.7812299999999999"/>
    <n v="8.3865300000000005"/>
    <n v="25.54618"/>
    <n v="1378.2475200000001"/>
    <x v="3"/>
    <s v="P"/>
    <x v="0"/>
    <n v="3"/>
  </r>
  <r>
    <n v="634.21266000000003"/>
    <n v="446.91196000000002"/>
    <n v="22.22767"/>
    <n v="558.15528000000006"/>
    <n v="324.06909999999999"/>
    <n v="25.84423"/>
    <n v="36.568280000000001"/>
    <n v="93.498809999999992"/>
    <n v="3.56427"/>
    <n v="13.571999999999999"/>
    <n v="31.614369999999997"/>
    <n v="1721.09899"/>
    <x v="3"/>
    <s v="P"/>
    <x v="0"/>
    <n v="4"/>
  </r>
  <r>
    <n v="2945.9441499999998"/>
    <n v="1337.6779799999999"/>
    <n v="186.34008"/>
    <n v="1756.0007499999999"/>
    <n v="1303.54774"/>
    <n v="186.49663000000001"/>
    <n v="570.96773999999994"/>
    <n v="286.11109000000005"/>
    <n v="14.572809999999999"/>
    <n v="106.81178"/>
    <n v="1867.4050199999999"/>
    <n v="9037.8576999999987"/>
    <x v="1"/>
    <s v="D"/>
    <x v="0"/>
    <n v="2"/>
  </r>
  <r>
    <n v="529.18616000000009"/>
    <n v="358.57552000000004"/>
    <n v="15.90554"/>
    <n v="449.82746000000003"/>
    <n v="243.54312999999999"/>
    <n v="21.531849999999999"/>
    <n v="30.431540000000002"/>
    <n v="78.647070000000014"/>
    <n v="2.85433"/>
    <n v="70.367910000000009"/>
    <n v="28.582429999999999"/>
    <n v="1454.9718799999998"/>
    <x v="3"/>
    <s v="P"/>
    <x v="0"/>
    <n v="2"/>
  </r>
  <r>
    <n v="871.73"/>
    <n v="449.01"/>
    <n v="32.101999999999997"/>
    <n v="570.58000000000004"/>
    <n v="356.69400000000002"/>
    <n v="51.103000000000002"/>
    <n v="121.925"/>
    <n v="70.846999999999994"/>
    <n v="13.829000000000001"/>
    <n v="21.731000000000002"/>
    <n v="56.645000000000003"/>
    <n v="2135.0839999999998"/>
    <x v="2"/>
    <s v="A"/>
    <x v="0"/>
    <n v="4"/>
  </r>
  <r>
    <n v="3066.1680499999998"/>
    <n v="1357.5895600000001"/>
    <n v="207.22495999999998"/>
    <n v="1806.8210800000002"/>
    <n v="1336.4388200000001"/>
    <n v="192.26376999999999"/>
    <n v="550.47774000000004"/>
    <n v="285.55053999999996"/>
    <n v="15.67639"/>
    <n v="126.18227"/>
    <n v="1956.91282"/>
    <n v="9336.4914600000011"/>
    <x v="1"/>
    <s v="D"/>
    <x v="0"/>
    <n v="4"/>
  </r>
  <r>
    <n v="3162.1709999999998"/>
    <n v="1210.461"/>
    <n v="100.06699999999999"/>
    <n v="1339.769"/>
    <n v="835.85699999999997"/>
    <n v="180.678"/>
    <n v="428.80900000000003"/>
    <n v="376.71600000000001"/>
    <n v="10.823"/>
    <n v="69.995999999999995"/>
    <n v="38.570999999999998"/>
    <n v="6443.39"/>
    <x v="0"/>
    <s v="D"/>
    <x v="0"/>
    <n v="1"/>
  </r>
  <r>
    <n v="854.66720999999995"/>
    <n v="628.63022999999998"/>
    <n v="39.476349999999996"/>
    <n v="812.53320999999994"/>
    <n v="544.74331000000006"/>
    <n v="58.159759999999999"/>
    <n v="59.60239"/>
    <n v="137.12785"/>
    <n v="4.3705800000000004"/>
    <n v="27.880700000000001"/>
    <n v="46.54654"/>
    <n v="2545.6315499999996"/>
    <x v="3"/>
    <s v="A"/>
    <x v="0"/>
    <n v="4"/>
  </r>
  <r>
    <n v="1072.8019999999999"/>
    <n v="554.13199999999995"/>
    <n v="33.636000000000003"/>
    <n v="701.35400000000004"/>
    <n v="474.642"/>
    <n v="63.765999999999998"/>
    <n v="148.99700000000001"/>
    <n v="82.945999999999998"/>
    <n v="15.127000000000001"/>
    <n v="31.901"/>
    <n v="41.343000000000004"/>
    <n v="2632.8780000000002"/>
    <x v="2"/>
    <s v="A"/>
    <x v="0"/>
    <n v="2"/>
  </r>
  <r>
    <n v="1147.104"/>
    <n v="626.03399999999999"/>
    <n v="49.289000000000001"/>
    <n v="797.97199999999998"/>
    <n v="504.13799999999998"/>
    <n v="72.152000000000001"/>
    <n v="164.71899999999999"/>
    <n v="92.942999999999998"/>
    <n v="17.574000000000002"/>
    <n v="33.024000000000001"/>
    <n v="62.451000000000001"/>
    <n v="2892.0770000000002"/>
    <x v="2"/>
    <s v="A"/>
    <x v="0"/>
    <n v="3"/>
  </r>
  <r>
    <n v="3323.982"/>
    <n v="1299.4459999999999"/>
    <n v="95.150999999999996"/>
    <n v="1438.367"/>
    <n v="848.98599999999999"/>
    <n v="205.417"/>
    <n v="431.43700000000001"/>
    <n v="378.40899999999999"/>
    <n v="10.425000000000001"/>
    <n v="74.531000000000006"/>
    <n v="36.536999999999999"/>
    <n v="6748.0910000000003"/>
    <x v="0"/>
    <s v="D"/>
    <x v="0"/>
    <n v="3"/>
  </r>
  <r>
    <n v="1044.1449499999999"/>
    <n v="782.44110000000001"/>
    <n v="33.691110000000002"/>
    <n v="990.91029000000003"/>
    <n v="653.41419999999994"/>
    <n v="70.151570000000007"/>
    <n v="65.830929999999995"/>
    <n v="167.72610999999998"/>
    <n v="5.6172800000000001"/>
    <n v="1.53999"/>
    <n v="49.767110000000002"/>
    <n v="3049.1024199999997"/>
    <x v="3"/>
    <s v="A"/>
    <x v="0"/>
    <n v="3"/>
  </r>
  <r>
    <n v="951.14688999999998"/>
    <n v="678.33107999999993"/>
    <n v="36.059910000000002"/>
    <n v="868.08831000000009"/>
    <n v="577.86116000000004"/>
    <n v="61.859220000000001"/>
    <n v="62.844250000000002"/>
    <n v="159.70683"/>
    <n v="5.2806600000000001"/>
    <n v="139.62207999999998"/>
    <n v="51.884339999999995"/>
    <n v="2878.2937400000001"/>
    <x v="3"/>
    <s v="A"/>
    <x v="0"/>
    <n v="2"/>
  </r>
  <r>
    <n v="3496.11"/>
    <n v="1304.4369999999999"/>
    <n v="106.31100000000001"/>
    <n v="1449.421"/>
    <n v="868.9"/>
    <n v="211.36"/>
    <n v="421.09699999999998"/>
    <n v="356.14"/>
    <n v="10.612"/>
    <n v="30.896000000000001"/>
    <n v="53.945"/>
    <n v="6898.4809999999998"/>
    <x v="0"/>
    <s v="D"/>
    <x v="0"/>
    <n v="4"/>
  </r>
  <r>
    <n v="3334.7089999999998"/>
    <n v="1284.1099999999999"/>
    <n v="89.290999999999997"/>
    <n v="1410.9559999999999"/>
    <n v="889.61199999999997"/>
    <n v="198.24600000000001"/>
    <n v="453.69799999999998"/>
    <n v="378.935"/>
    <n v="10.432"/>
    <n v="82.51"/>
    <n v="38.859000000000002"/>
    <n v="6797.9570000000003"/>
    <x v="0"/>
    <s v="D"/>
    <x v="0"/>
    <n v="2"/>
  </r>
  <r>
    <n v="2676.9618999999998"/>
    <n v="1223.69298"/>
    <n v="144.76283999999998"/>
    <n v="1580.4826699999999"/>
    <n v="1330.0347199999999"/>
    <n v="233.60085999999998"/>
    <n v="465.78068000000002"/>
    <n v="386.18795"/>
    <n v="13.042669999999999"/>
    <n v="10.881639999999999"/>
    <n v="1145.4197199999999"/>
    <n v="7842.3928099999994"/>
    <x v="3"/>
    <s v="D"/>
    <x v="0"/>
    <n v="1"/>
  </r>
  <r>
    <n v="2824.1435299999998"/>
    <n v="1271.15344"/>
    <n v="152.60930999999999"/>
    <n v="1678.8319099999999"/>
    <n v="1466.12815"/>
    <n v="264.17912999999999"/>
    <n v="552.04714000000001"/>
    <n v="372.3494"/>
    <n v="29.97259"/>
    <n v="53.876169999999995"/>
    <n v="1204.0856999999999"/>
    <n v="8445.6137200000012"/>
    <x v="3"/>
    <s v="D"/>
    <x v="0"/>
    <n v="4"/>
  </r>
  <r>
    <n v="2831.5573199999999"/>
    <n v="1270.0493600000002"/>
    <n v="126.73855"/>
    <n v="1640.1858"/>
    <n v="1346.7651699999999"/>
    <n v="269.00076000000001"/>
    <n v="518.61073999999996"/>
    <n v="365.88128"/>
    <n v="17.292310000000001"/>
    <n v="53.727739999999997"/>
    <n v="1203.8991000000001"/>
    <n v="8246.9202100000002"/>
    <x v="3"/>
    <s v="D"/>
    <x v="0"/>
    <n v="3"/>
  </r>
  <r>
    <n v="2761.9988599999997"/>
    <n v="1195.88795"/>
    <n v="149.64826000000002"/>
    <n v="1582.8541699999998"/>
    <n v="1364.97272"/>
    <n v="247.93942999999999"/>
    <n v="511.62781000000001"/>
    <n v="373.79189000000002"/>
    <n v="12.816780000000001"/>
    <n v="294.61707000000001"/>
    <n v="1163.2182399999999"/>
    <n v="8313.8369700000003"/>
    <x v="3"/>
    <s v="D"/>
    <x v="0"/>
    <n v="2"/>
  </r>
  <r>
    <n v="3496.6669999999999"/>
    <n v="1317.7190000000001"/>
    <n v="137.16999999999999"/>
    <n v="1800.06"/>
    <n v="1622.251"/>
    <n v="193.72499999999999"/>
    <n v="483.35399999999998"/>
    <n v="366.52100000000002"/>
    <n v="66.840999999999994"/>
    <n v="97.891000000000005"/>
    <n v="2211.2060000000001"/>
    <n v="10338.516"/>
    <x v="2"/>
    <s v="D"/>
    <x v="0"/>
    <n v="2"/>
  </r>
  <r>
    <n v="3459.3890000000001"/>
    <n v="1345.1320000000001"/>
    <n v="186.595"/>
    <n v="1882.3130000000001"/>
    <n v="1603.462"/>
    <n v="206.23599999999999"/>
    <n v="497.88299999999998"/>
    <n v="369.47500000000002"/>
    <n v="69.863"/>
    <n v="94.97"/>
    <n v="2532.1190000000001"/>
    <n v="10715.71"/>
    <x v="2"/>
    <s v="D"/>
    <x v="0"/>
    <n v="3"/>
  </r>
  <r>
    <n v="3131.739"/>
    <n v="1318.172"/>
    <n v="183.15"/>
    <n v="1862.7070000000001"/>
    <n v="1551.3"/>
    <n v="179.983"/>
    <n v="509.87599999999998"/>
    <n v="365.50799999999998"/>
    <n v="69.147000000000006"/>
    <n v="93.543000000000006"/>
    <n v="2025.3140000000001"/>
    <n v="9789.1170000000002"/>
    <x v="2"/>
    <s v="D"/>
    <x v="0"/>
    <n v="1"/>
  </r>
  <r>
    <n v="3690.1010000000001"/>
    <n v="1308.96"/>
    <n v="164.34800000000001"/>
    <n v="1842.152"/>
    <n v="1596.5940000000001"/>
    <n v="210.67"/>
    <n v="525.78200000000004"/>
    <n v="381.86399999999998"/>
    <n v="74.534000000000006"/>
    <n v="90.126999999999995"/>
    <n v="2397.8090000000002"/>
    <n v="10809.633"/>
    <x v="2"/>
    <s v="D"/>
    <x v="0"/>
    <n v="4"/>
  </r>
  <r>
    <n v="2996.7640000000001"/>
    <n v="1481.7660000000001"/>
    <n v="107.63200000000001"/>
    <n v="1619.653"/>
    <n v="863.20100000000002"/>
    <n v="165.673"/>
    <n v="351.80200000000002"/>
    <n v="385.30700000000002"/>
    <n v="12.978999999999999"/>
    <n v="74.712999999999994"/>
    <n v="32.917000000000002"/>
    <n v="6503.009"/>
    <x v="0"/>
    <s v="D"/>
    <x v="1"/>
    <n v="1"/>
  </r>
  <r>
    <n v="100.57899999999999"/>
    <n v="49.731000000000002"/>
    <n v="3.6120000000000001"/>
    <n v="54.357999999999997"/>
    <n v="28.971"/>
    <n v="5.56"/>
    <n v="11.807"/>
    <n v="12.932"/>
    <n v="0.435"/>
    <n v="2.508"/>
    <n v="1.1060000000000001"/>
    <n v="218.256"/>
    <x v="0"/>
    <s v="L"/>
    <x v="1"/>
    <n v="1"/>
  </r>
  <r>
    <n v="101.33199999999999"/>
    <n v="51.281999999999996"/>
    <n v="3.7309999999999999"/>
    <n v="56.313000000000002"/>
    <n v="29.556000000000001"/>
    <n v="6.1429999999999998"/>
    <n v="12.423999999999999"/>
    <n v="12.901999999999999"/>
    <n v="0.39600000000000002"/>
    <n v="2.9"/>
    <n v="1.1679999999999999"/>
    <n v="223.13399999999999"/>
    <x v="0"/>
    <s v="L"/>
    <x v="1"/>
    <n v="2"/>
  </r>
  <r>
    <n v="83.918000000000006"/>
    <n v="31.268000000000001"/>
    <n v="2.5840000000000001"/>
    <n v="34.814999999999998"/>
    <n v="21.262"/>
    <n v="4.7910000000000004"/>
    <n v="9.5050000000000008"/>
    <n v="9.7189999999999994"/>
    <n v="0.307"/>
    <n v="-0.70199999999999996"/>
    <n v="0.89"/>
    <n v="164.505"/>
    <x v="0"/>
    <s v="L"/>
    <x v="1"/>
    <n v="4"/>
  </r>
  <r>
    <n v="156.51847000000001"/>
    <n v="89.938789999999997"/>
    <n v="12.762090000000001"/>
    <n v="115.29532"/>
    <n v="71.168050000000008"/>
    <n v="9.9006699999999999"/>
    <n v="31.913650000000001"/>
    <n v="16.212720000000001"/>
    <n v="0.97309000000000001"/>
    <n v="26.55349"/>
    <n v="1.3535599999999999"/>
    <n v="429.88903000000005"/>
    <x v="1"/>
    <s v="P"/>
    <x v="1"/>
    <n v="3"/>
  </r>
  <r>
    <n v="134.07696999999999"/>
    <n v="83.520189999999999"/>
    <n v="11.87285"/>
    <n v="106.44552"/>
    <n v="60.20176"/>
    <n v="9.1399400000000011"/>
    <n v="27.494709999999998"/>
    <n v="14.173440000000001"/>
    <n v="0.86269000000000007"/>
    <n v="4.4722200000000001"/>
    <n v="1.23827"/>
    <n v="358.10552000000001"/>
    <x v="1"/>
    <s v="P"/>
    <x v="1"/>
    <n v="2"/>
  </r>
  <r>
    <n v="171.36792000000003"/>
    <n v="105.21932000000001"/>
    <n v="13.311159999999999"/>
    <n v="132.56177"/>
    <n v="74.363020000000006"/>
    <n v="10.28126"/>
    <n v="37.484760000000001"/>
    <n v="18.426680000000001"/>
    <n v="1.0373599999999998"/>
    <n v="7.7056199999999997"/>
    <n v="1.2412000000000001"/>
    <n v="454.46958000000001"/>
    <x v="1"/>
    <s v="P"/>
    <x v="1"/>
    <n v="1"/>
  </r>
  <r>
    <n v="87.162999999999997"/>
    <n v="38.176000000000002"/>
    <n v="2.6230000000000002"/>
    <n v="41.844000000000001"/>
    <n v="24.05"/>
    <n v="5.15"/>
    <n v="10.079000000000001"/>
    <n v="11.497"/>
    <n v="0.33800000000000002"/>
    <n v="2.9740000000000002"/>
    <n v="0.94099999999999995"/>
    <n v="184.036"/>
    <x v="0"/>
    <s v="L"/>
    <x v="1"/>
    <n v="3"/>
  </r>
  <r>
    <n v="209.13607999999999"/>
    <n v="103.34876"/>
    <n v="17.295680000000001"/>
    <n v="136.75321"/>
    <n v="95.197770000000006"/>
    <n v="12.72085"/>
    <n v="38.870239999999995"/>
    <n v="22.635180000000002"/>
    <n v="1.47326"/>
    <n v="1.8472200000000001"/>
    <n v="1.71356"/>
    <n v="520.34736999999996"/>
    <x v="1"/>
    <s v="P"/>
    <x v="1"/>
    <n v="4"/>
  </r>
  <r>
    <n v="547.65615000000003"/>
    <n v="282.93083000000001"/>
    <n v="44.756149999999998"/>
    <n v="371.99796999999995"/>
    <n v="249.77555999999998"/>
    <n v="35.141379999999998"/>
    <n v="111.98924000000001"/>
    <n v="56.594949999999997"/>
    <n v="3.4069199999999999"/>
    <n v="78.111240000000009"/>
    <n v="4.7607400000000002"/>
    <n v="1459.4341399999998"/>
    <x v="1"/>
    <s v="L"/>
    <x v="1"/>
    <n v="3"/>
  </r>
  <r>
    <n v="583.98953000000006"/>
    <n v="389.04843"/>
    <n v="45.372410000000002"/>
    <n v="482.6379"/>
    <n v="255.94048999999998"/>
    <n v="35.3476"/>
    <n v="128.09314000000001"/>
    <n v="63.041059999999995"/>
    <n v="3.5559600000000002"/>
    <n v="24.7576"/>
    <n v="4.2094399999999998"/>
    <n v="1581.5727099999999"/>
    <x v="1"/>
    <s v="A"/>
    <x v="1"/>
    <n v="1"/>
  </r>
  <r>
    <n v="597.81216000000006"/>
    <n v="339.24063000000001"/>
    <n v="52.840260000000001"/>
    <n v="441.37933000000004"/>
    <n v="268.52163000000002"/>
    <n v="40.857610000000001"/>
    <n v="122.39767000000001"/>
    <n v="63.208580000000005"/>
    <n v="3.8489800000000001"/>
    <n v="19.801909999999999"/>
    <n v="5.5246000000000004"/>
    <n v="1563.35248"/>
    <x v="1"/>
    <s v="L"/>
    <x v="1"/>
    <n v="2"/>
  </r>
  <r>
    <n v="742.5618199999999"/>
    <n v="431.91525999999999"/>
    <n v="57.678179999999998"/>
    <n v="550.5521"/>
    <n v="323.25450000000001"/>
    <n v="44.685519999999997"/>
    <n v="162.60086999999999"/>
    <n v="79.952780000000004"/>
    <n v="4.5046599999999994"/>
    <n v="32.651150000000001"/>
    <n v="5.3690299999999995"/>
    <n v="1946.1324299999999"/>
    <x v="1"/>
    <s v="L"/>
    <x v="1"/>
    <n v="1"/>
  </r>
  <r>
    <n v="656.22970999999995"/>
    <n v="341.15681999999998"/>
    <n v="53.449300000000001"/>
    <n v="445.94571999999999"/>
    <n v="299.95510999999999"/>
    <n v="40.572279999999999"/>
    <n v="124.92417999999999"/>
    <n v="71.21181"/>
    <n v="4.6623700000000001"/>
    <n v="12.00474"/>
    <n v="5.3632100000000005"/>
    <n v="1660.8691299999998"/>
    <x v="1"/>
    <s v="A"/>
    <x v="1"/>
    <n v="4"/>
  </r>
  <r>
    <n v="695.90912000000003"/>
    <n v="310.35766999999998"/>
    <n v="57.68188"/>
    <n v="421.52908000000002"/>
    <n v="316.52941999999996"/>
    <n v="42.225749999999998"/>
    <n v="129.06493"/>
    <n v="75.331009999999992"/>
    <n v="4.9006800000000004"/>
    <n v="5.1765600000000003"/>
    <n v="5.7019399999999996"/>
    <n v="1696.3684800000001"/>
    <x v="1"/>
    <s v="L"/>
    <x v="1"/>
    <n v="4"/>
  </r>
  <r>
    <n v="922.03650000000005"/>
    <n v="542.69137000000001"/>
    <n v="75.240669999999994"/>
    <n v="692.27094"/>
    <n v="419.69596999999999"/>
    <n v="58.625169999999997"/>
    <n v="188.19255999999999"/>
    <n v="95.42461999999999"/>
    <n v="5.7336499999999999"/>
    <n v="147.44948000000002"/>
    <n v="7.9883699999999997"/>
    <n v="2537.4172599999997"/>
    <x v="1"/>
    <s v="A"/>
    <x v="1"/>
    <n v="3"/>
  </r>
  <r>
    <n v="849.20629000000008"/>
    <n v="549.22116000000005"/>
    <n v="74.628219999999999"/>
    <n v="693.96668"/>
    <n v="381.76659999999998"/>
    <n v="58.361280000000001"/>
    <n v="173.01748000000001"/>
    <n v="89.736440000000002"/>
    <n v="5.46943"/>
    <n v="27.724930000000001"/>
    <n v="7.8681200000000002"/>
    <n v="2287.11724"/>
    <x v="1"/>
    <s v="A"/>
    <x v="1"/>
    <n v="2"/>
  </r>
  <r>
    <n v="250.904"/>
    <n v="156.65700000000001"/>
    <n v="11.807"/>
    <n v="194.35300000000001"/>
    <n v="105.017"/>
    <n v="13.712"/>
    <n v="30.594000000000001"/>
    <n v="19.797999999999998"/>
    <n v="4.2729999999999997"/>
    <n v="6.7750000000000004"/>
    <n v="17.914000000000001"/>
    <n v="643.34"/>
    <x v="2"/>
    <s v="P"/>
    <x v="1"/>
    <n v="2"/>
  </r>
  <r>
    <n v="266.57900000000001"/>
    <n v="164.59700000000001"/>
    <n v="13.419"/>
    <n v="205.20699999999999"/>
    <n v="107.794"/>
    <n v="14.757"/>
    <n v="34.860999999999997"/>
    <n v="22.706"/>
    <n v="4.1520000000000001"/>
    <n v="13.742000000000001"/>
    <n v="16.248000000000001"/>
    <n v="686.04600000000005"/>
    <x v="2"/>
    <s v="P"/>
    <x v="1"/>
    <n v="3"/>
  </r>
  <r>
    <n v="245.72800000000001"/>
    <n v="170.10499999999999"/>
    <n v="14.359"/>
    <n v="211.714"/>
    <n v="106.623"/>
    <n v="12.721"/>
    <n v="35.055999999999997"/>
    <n v="22.948"/>
    <n v="5.1470000000000002"/>
    <n v="6.8029999999999999"/>
    <n v="20.163"/>
    <n v="666.90300000000002"/>
    <x v="2"/>
    <s v="P"/>
    <x v="1"/>
    <n v="1"/>
  </r>
  <r>
    <n v="291.86799999999999"/>
    <n v="166.34800000000001"/>
    <n v="12.615"/>
    <n v="208.05699999999999"/>
    <n v="118.45699999999999"/>
    <n v="15.111000000000001"/>
    <n v="36.823999999999998"/>
    <n v="25.614000000000001"/>
    <n v="4.6230000000000002"/>
    <n v="9.1869999999999994"/>
    <n v="17.486000000000001"/>
    <n v="727.22699999999998"/>
    <x v="2"/>
    <s v="P"/>
    <x v="1"/>
    <n v="4"/>
  </r>
  <r>
    <n v="290.83"/>
    <n v="159.809"/>
    <n v="20.026"/>
    <n v="209.24100000000001"/>
    <n v="130.596"/>
    <n v="15.939"/>
    <n v="40.435000000000002"/>
    <n v="35.572000000000003"/>
    <n v="6.5030000000000001"/>
    <n v="14.936999999999999"/>
    <n v="27.7"/>
    <n v="771.75300000000004"/>
    <x v="2"/>
    <s v="L"/>
    <x v="1"/>
    <n v="3"/>
  </r>
  <r>
    <n v="340.73500000000001"/>
    <n v="200.745"/>
    <n v="22.501999999999999"/>
    <n v="257.01400000000001"/>
    <n v="158.62100000000001"/>
    <n v="17.885000000000002"/>
    <n v="43.768999999999998"/>
    <n v="40.076000000000001"/>
    <n v="8.6479999999999997"/>
    <n v="8.9459999999999997"/>
    <n v="48.844999999999999"/>
    <n v="924.53899999999999"/>
    <x v="2"/>
    <s v="L"/>
    <x v="1"/>
    <n v="2"/>
  </r>
  <r>
    <n v="371.39400000000001"/>
    <n v="173.22800000000001"/>
    <n v="20.515999999999998"/>
    <n v="232.18100000000001"/>
    <n v="170.196"/>
    <n v="19.959"/>
    <n v="51.084000000000003"/>
    <n v="43.438000000000002"/>
    <n v="7.8410000000000002"/>
    <n v="12.233000000000001"/>
    <n v="34.994999999999997"/>
    <n v="943.32100000000003"/>
    <x v="2"/>
    <s v="L"/>
    <x v="1"/>
    <n v="4"/>
  </r>
  <r>
    <n v="498.02929999999998"/>
    <n v="333.57928999999996"/>
    <n v="27.704819999999998"/>
    <n v="404.97003999999998"/>
    <n v="234.43155999999999"/>
    <n v="33.935040000000001"/>
    <n v="54.820639999999997"/>
    <n v="77.30095"/>
    <n v="1.7402200000000001"/>
    <n v="18.034200000000002"/>
    <n v="57.936320000000002"/>
    <n v="1381.1982700000001"/>
    <x v="3"/>
    <s v="L"/>
    <x v="1"/>
    <n v="1"/>
  </r>
  <r>
    <n v="464.67865999999998"/>
    <n v="302.56297999999998"/>
    <n v="18.083680000000001"/>
    <n v="361.37781999999999"/>
    <n v="211.85604000000001"/>
    <n v="32.183759999999999"/>
    <n v="50.876419999999996"/>
    <n v="65.937970000000007"/>
    <n v="1.8024100000000001"/>
    <n v="16.948229999999999"/>
    <n v="60.081249999999997"/>
    <n v="1265.7425700000001"/>
    <x v="3"/>
    <s v="L"/>
    <x v="1"/>
    <n v="2"/>
  </r>
  <r>
    <n v="423.35460999999998"/>
    <n v="253.58237"/>
    <n v="21.34347"/>
    <n v="311.00541999999996"/>
    <n v="198.69545000000002"/>
    <n v="29.35568"/>
    <n v="47.763959999999997"/>
    <n v="59.094569999999997"/>
    <n v="3.0130700000000004"/>
    <n v="14.786959999999999"/>
    <n v="57.975569999999998"/>
    <n v="1145.0452700000001"/>
    <x v="3"/>
    <s v="L"/>
    <x v="1"/>
    <n v="3"/>
  </r>
  <r>
    <n v="463.02699999999999"/>
    <n v="276.238"/>
    <n v="36.049999999999997"/>
    <n v="364.50400000000002"/>
    <n v="227.09100000000001"/>
    <n v="24.37"/>
    <n v="71.394000000000005"/>
    <n v="59.64"/>
    <n v="13.38"/>
    <n v="13.167999999999999"/>
    <n v="40.072000000000003"/>
    <n v="1276.646"/>
    <x v="2"/>
    <s v="L"/>
    <x v="1"/>
    <n v="1"/>
  </r>
  <r>
    <n v="475.01547999999997"/>
    <n v="401.61545000000001"/>
    <n v="8.5116800000000001"/>
    <n v="473.98457000000002"/>
    <n v="258.50171"/>
    <n v="17.073460000000001"/>
    <n v="27.41215"/>
    <n v="79.88964"/>
    <n v="1.5770899999999999"/>
    <n v="15.57037"/>
    <n v="24.7728"/>
    <n v="1373.7972600000001"/>
    <x v="3"/>
    <s v="P"/>
    <x v="1"/>
    <n v="2"/>
  </r>
  <r>
    <n v="2607.7623399999998"/>
    <n v="1547.5565900000001"/>
    <n v="202.52441000000002"/>
    <n v="1964.4004600000001"/>
    <n v="1136.9478300000001"/>
    <n v="157.20667"/>
    <n v="571.50377000000003"/>
    <n v="281.00333000000001"/>
    <n v="15.84257"/>
    <n v="112.67796000000001"/>
    <n v="1726.6163000000001"/>
    <n v="8573.9612300000008"/>
    <x v="1"/>
    <s v="D"/>
    <x v="1"/>
    <n v="1"/>
  </r>
  <r>
    <n v="568.77162999999996"/>
    <n v="481.66856000000001"/>
    <n v="16.344370000000001"/>
    <n v="571.14820999999995"/>
    <n v="287.42437000000001"/>
    <n v="20.7531"/>
    <n v="30.816939999999999"/>
    <n v="101.43306"/>
    <n v="1.7651199999999998"/>
    <n v="20.9681"/>
    <n v="28.32957"/>
    <n v="1631.4100900000001"/>
    <x v="3"/>
    <s v="P"/>
    <x v="1"/>
    <n v="1"/>
  </r>
  <r>
    <n v="3057.67"/>
    <n v="1547.4169999999999"/>
    <n v="112.58199999999999"/>
    <n v="1699.2239999999999"/>
    <n v="891.83199999999999"/>
    <n v="185.31700000000001"/>
    <n v="374.85599999999999"/>
    <n v="389.27600000000001"/>
    <n v="11.959"/>
    <n v="87.518000000000001"/>
    <n v="35.206000000000003"/>
    <n v="6732.8580000000002"/>
    <x v="0"/>
    <s v="D"/>
    <x v="1"/>
    <n v="2"/>
  </r>
  <r>
    <n v="2721.2965199999999"/>
    <n v="1440.33797"/>
    <n v="221.95652999999999"/>
    <n v="1881.4659099999999"/>
    <n v="1237.8172299999999"/>
    <n v="172.58233999999999"/>
    <n v="555.09645"/>
    <n v="281.71565000000004"/>
    <n v="16.920390000000001"/>
    <n v="447.73239000000001"/>
    <n v="1813.5752299999999"/>
    <n v="9128.2021100000002"/>
    <x v="1"/>
    <s v="D"/>
    <x v="1"/>
    <n v="3"/>
  </r>
  <r>
    <n v="475.54908"/>
    <n v="250.50964999999999"/>
    <n v="22.205099999999998"/>
    <n v="314.05099999999999"/>
    <n v="239.91406000000001"/>
    <n v="32.059919999999998"/>
    <n v="54.39817"/>
    <n v="70.100649999999987"/>
    <n v="2.2328299999999999"/>
    <n v="21.49615"/>
    <n v="61.368459999999999"/>
    <n v="1271.17031"/>
    <x v="3"/>
    <s v="L"/>
    <x v="1"/>
    <n v="4"/>
  </r>
  <r>
    <n v="548.81399999999996"/>
    <n v="426.95299999999997"/>
    <n v="36.225000000000001"/>
    <n v="524.72799999999995"/>
    <n v="250.95"/>
    <n v="28.73"/>
    <n v="81.055000000000007"/>
    <n v="58.793999999999997"/>
    <n v="13.19"/>
    <n v="15.426"/>
    <n v="21.978999999999999"/>
    <n v="1543.6659999999999"/>
    <x v="2"/>
    <s v="A"/>
    <x v="1"/>
    <n v="1"/>
  </r>
  <r>
    <n v="615.81362999999999"/>
    <n v="520.43161999999995"/>
    <n v="25.01493"/>
    <n v="634.10334999999998"/>
    <n v="391.88196999999997"/>
    <n v="34.830280000000002"/>
    <n v="39.69126"/>
    <n v="133.08201"/>
    <n v="1.9023800000000002"/>
    <n v="26.74521"/>
    <n v="32.073189999999997"/>
    <n v="1910.12327"/>
    <x v="3"/>
    <s v="A"/>
    <x v="1"/>
    <n v="1"/>
  </r>
  <r>
    <n v="2626.4287100000001"/>
    <n v="1551.99629"/>
    <n v="232.02049"/>
    <n v="2000.6302900000001"/>
    <n v="1179.6984299999999"/>
    <n v="179.49928"/>
    <n v="537.49302999999998"/>
    <n v="277.60889000000003"/>
    <n v="16.904529999999998"/>
    <n v="87.017179999999996"/>
    <n v="1824.8562199999999"/>
    <n v="8730.1365700000006"/>
    <x v="1"/>
    <s v="D"/>
    <x v="1"/>
    <n v="2"/>
  </r>
  <r>
    <n v="494.75896999999998"/>
    <n v="380.53982999999999"/>
    <n v="11.36558"/>
    <n v="459.77271000000002"/>
    <n v="245.11951000000002"/>
    <n v="19.465990000000001"/>
    <n v="26.756959999999999"/>
    <n v="78.216839999999991"/>
    <n v="3.8270599999999999"/>
    <n v="13.57436"/>
    <n v="24.31917"/>
    <n v="1365.8115600000001"/>
    <x v="3"/>
    <s v="P"/>
    <x v="1"/>
    <n v="3"/>
  </r>
  <r>
    <n v="2790.26359"/>
    <n v="1267.2969399999999"/>
    <n v="228.99123"/>
    <n v="1712.99821"/>
    <n v="1272.4724699999999"/>
    <n v="171.13557999999998"/>
    <n v="526.22715000000005"/>
    <n v="302.67207000000002"/>
    <n v="19.771699999999999"/>
    <n v="38.074109999999997"/>
    <n v="1788.9821000000002"/>
    <n v="8622.5969800000003"/>
    <x v="1"/>
    <s v="D"/>
    <x v="1"/>
    <n v="4"/>
  </r>
  <r>
    <n v="785.50099999999998"/>
    <n v="454.815"/>
    <n v="35.704999999999998"/>
    <n v="575.13199999999995"/>
    <n v="341.00900000000001"/>
    <n v="43.948"/>
    <n v="106.46899999999999"/>
    <n v="72.045000000000002"/>
    <n v="13.006"/>
    <n v="26.692"/>
    <n v="31.120999999999999"/>
    <n v="1994.923"/>
    <x v="2"/>
    <s v="A"/>
    <x v="1"/>
    <n v="4"/>
  </r>
  <r>
    <n v="570.11910999999998"/>
    <n v="394.25251000000003"/>
    <n v="17.348320000000001"/>
    <n v="483.70139"/>
    <n v="284.32249999999999"/>
    <n v="20.38776"/>
    <n v="29.189619999999998"/>
    <n v="93.17446000000001"/>
    <n v="2.9433000000000002"/>
    <n v="27.655470000000001"/>
    <n v="27.126860000000001"/>
    <n v="1538.6204599999999"/>
    <x v="3"/>
    <s v="P"/>
    <x v="1"/>
    <n v="4"/>
  </r>
  <r>
    <n v="990.22400000000005"/>
    <n v="639.33199999999999"/>
    <n v="49.716999999999999"/>
    <n v="797.31299999999999"/>
    <n v="440.221"/>
    <n v="57.341999999999999"/>
    <n v="128.12799999999999"/>
    <n v="83.483000000000004"/>
    <n v="18.02"/>
    <n v="28.338000000000001"/>
    <n v="42.704000000000001"/>
    <n v="2585.7730000000001"/>
    <x v="2"/>
    <s v="A"/>
    <x v="1"/>
    <n v="2"/>
  </r>
  <r>
    <n v="875.58393999999998"/>
    <n v="749.98148000000003"/>
    <n v="26.883580000000002"/>
    <n v="910.46901000000003"/>
    <n v="540.66956000000005"/>
    <n v="52.858269999999997"/>
    <n v="60.720050000000001"/>
    <n v="181.03798999999998"/>
    <n v="3.0276100000000001"/>
    <n v="39.6477"/>
    <n v="48.064680000000003"/>
    <n v="2712.0787999999998"/>
    <x v="3"/>
    <s v="A"/>
    <x v="1"/>
    <n v="2"/>
  </r>
  <r>
    <n v="779.18260999999995"/>
    <n v="537.46391000000006"/>
    <n v="28.299910000000001"/>
    <n v="679.35030000000006"/>
    <n v="472.02196999999995"/>
    <n v="48.165190000000003"/>
    <n v="47.447009999999999"/>
    <n v="151.22432000000001"/>
    <n v="3.96679"/>
    <n v="43.627789999999997"/>
    <n v="40.508300000000006"/>
    <n v="2265.4942599999999"/>
    <x v="3"/>
    <s v="A"/>
    <x v="1"/>
    <n v="4"/>
  </r>
  <r>
    <n v="1105.9100000000001"/>
    <n v="674.14700000000005"/>
    <n v="57.670999999999999"/>
    <n v="855.56799999999998"/>
    <n v="481.92200000000003"/>
    <n v="67.168999999999997"/>
    <n v="156.96299999999999"/>
    <n v="96.549000000000007"/>
    <n v="17.652000000000001"/>
    <n v="62.491"/>
    <n v="44.962000000000003"/>
    <n v="2889.1860000000001"/>
    <x v="2"/>
    <s v="A"/>
    <x v="1"/>
    <n v="3"/>
  </r>
  <r>
    <n v="3309.9180000000001"/>
    <n v="1233.241"/>
    <n v="101.937"/>
    <n v="1373.133"/>
    <n v="838.57399999999996"/>
    <n v="188.95699999999999"/>
    <n v="374.90600000000001"/>
    <n v="383.33600000000001"/>
    <n v="12.106999999999999"/>
    <n v="-27.629000000000001"/>
    <n v="35.106999999999999"/>
    <n v="6488.4089999999997"/>
    <x v="0"/>
    <s v="D"/>
    <x v="1"/>
    <n v="4"/>
  </r>
  <r>
    <n v="3148.6959999999999"/>
    <n v="1379.0309999999999"/>
    <n v="94.745999999999995"/>
    <n v="1511.557"/>
    <n v="868.75900000000001"/>
    <n v="186.04599999999999"/>
    <n v="364.10399999999998"/>
    <n v="415.32400000000001"/>
    <n v="12.19"/>
    <n v="107.40900000000001"/>
    <n v="34.01"/>
    <n v="6648.0950000000003"/>
    <x v="0"/>
    <s v="D"/>
    <x v="1"/>
    <n v="3"/>
  </r>
  <r>
    <n v="984.28764999999999"/>
    <n v="767.71573999999998"/>
    <n v="35.159930000000003"/>
    <n v="953.87556000000006"/>
    <n v="597.15177000000006"/>
    <n v="60.322410000000005"/>
    <n v="62.421970000000002"/>
    <n v="187.99235999999999"/>
    <n v="7.8321099999999992"/>
    <n v="36.805610000000001"/>
    <n v="48.501760000000004"/>
    <n v="2939.1911800000003"/>
    <x v="3"/>
    <s v="A"/>
    <x v="1"/>
    <n v="3"/>
  </r>
  <r>
    <n v="2506.4076"/>
    <n v="1313.1529800000001"/>
    <n v="122.24863999999999"/>
    <n v="1633.4361999999999"/>
    <n v="1255.7602099999999"/>
    <n v="205.25886"/>
    <n v="427.90275000000003"/>
    <n v="357.15515000000005"/>
    <n v="9.7571399999999997"/>
    <n v="81.61775999999999"/>
    <n v="1039.97525"/>
    <n v="7517.2709199999999"/>
    <x v="3"/>
    <s v="D"/>
    <x v="1"/>
    <n v="1"/>
  </r>
  <r>
    <n v="2552.42614"/>
    <n v="1351.8616499999998"/>
    <n v="98.207759999999993"/>
    <n v="1663.83599"/>
    <n v="1272.47147"/>
    <n v="223.08720000000002"/>
    <n v="443.15332000000001"/>
    <n v="349.66462000000001"/>
    <n v="11.40094"/>
    <n v="80.788449999999997"/>
    <n v="1107.88346"/>
    <n v="7704.7115800000001"/>
    <x v="3"/>
    <s v="D"/>
    <x v="1"/>
    <n v="2"/>
  </r>
  <r>
    <n v="2703.9507999999996"/>
    <n v="1273.9903200000001"/>
    <n v="119.56125999999999"/>
    <n v="1614.0416699999998"/>
    <n v="1242.2892899999999"/>
    <n v="237.60173"/>
    <n v="447.07658000000004"/>
    <n v="354.60921999999999"/>
    <n v="19.286049999999999"/>
    <n v="69.406660000000002"/>
    <n v="1138.7310199999999"/>
    <n v="7826.9930100000001"/>
    <x v="3"/>
    <s v="D"/>
    <x v="1"/>
    <n v="3"/>
  </r>
  <r>
    <n v="2750.1712900000002"/>
    <n v="1196.3336100000001"/>
    <n v="141.00622000000001"/>
    <n v="1563.6444799999999"/>
    <n v="1423.37742"/>
    <n v="240.79695000000001"/>
    <n v="475.25865999999996"/>
    <n v="392.63934999999998"/>
    <n v="12.626520000000001"/>
    <n v="107.15611"/>
    <n v="1150.0741599999999"/>
    <n v="8115.7449400000005"/>
    <x v="3"/>
    <s v="D"/>
    <x v="1"/>
    <n v="4"/>
  </r>
  <r>
    <n v="3233.9050000000002"/>
    <n v="1476.7280000000001"/>
    <n v="219.75800000000001"/>
    <n v="2031.1479999999999"/>
    <n v="1465.5440000000001"/>
    <n v="181.42099999999999"/>
    <n v="456.13400000000001"/>
    <n v="388.529"/>
    <n v="71.034000000000006"/>
    <n v="169.87100000000001"/>
    <n v="1988.24"/>
    <n v="9985.8259999999991"/>
    <x v="2"/>
    <s v="D"/>
    <x v="1"/>
    <n v="3"/>
  </r>
  <r>
    <n v="3282.4780000000001"/>
    <n v="1524.9939999999999"/>
    <n v="208.16499999999999"/>
    <n v="2074.0949999999998"/>
    <n v="1543.4760000000001"/>
    <n v="180.56800000000001"/>
    <n v="431.55099999999999"/>
    <n v="366.43599999999998"/>
    <n v="79.090999999999994"/>
    <n v="90.022000000000006"/>
    <n v="2194.2660000000001"/>
    <n v="10241.983"/>
    <x v="2"/>
    <s v="D"/>
    <x v="1"/>
    <n v="2"/>
  </r>
  <r>
    <n v="2956.25"/>
    <n v="1437.3879999999999"/>
    <n v="220.595"/>
    <n v="2006.8620000000001"/>
    <n v="1463.1959999999999"/>
    <n v="162.83699999999999"/>
    <n v="466.98399999999998"/>
    <n v="361.27800000000002"/>
    <n v="81.042000000000002"/>
    <n v="87.671999999999997"/>
    <n v="2068.8180000000002"/>
    <n v="9654.9390000000003"/>
    <x v="2"/>
    <s v="D"/>
    <x v="1"/>
    <n v="1"/>
  </r>
  <r>
    <n v="3428.8209999999999"/>
    <n v="1356.817"/>
    <n v="188.339"/>
    <n v="1907.086"/>
    <n v="1585.37"/>
    <n v="187.93600000000001"/>
    <n v="477.952"/>
    <n v="396.95299999999997"/>
    <n v="71.656999999999996"/>
    <n v="115.063"/>
    <n v="2071.489"/>
    <n v="10242.326999999999"/>
    <x v="2"/>
    <s v="D"/>
    <x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EDD772-951D-4951-9B47-41E50BBB7DFA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3:E10" firstHeaderRow="1" firstDataRow="3" firstDataCol="1"/>
  <pivotFields count="16"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numFmtId="4" showAll="0"/>
    <pivotField dataField="1" numFmtId="4" showAll="0"/>
    <pivotField axis="axisRow" showAll="0">
      <items count="5">
        <item x="1"/>
        <item x="2"/>
        <item x="3"/>
        <item x="0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2">
    <field x="14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Sum of OP_EXPENSE" fld="11" baseField="0" baseItem="0" numFmtId="3"/>
    <dataField name="% Change" fld="11" showDataAs="percentDiff" baseField="14" baseItem="1048828" numFmtId="10"/>
  </dataFields>
  <formats count="2">
    <format dxfId="2">
      <pivotArea outline="0" collapsedLevelsAreSubtotals="1" fieldPosition="0"/>
    </format>
    <format dxfId="1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FABF09-4AA8-41BD-8471-9373B2CE9CF8}" name="PivotTable2" cacheId="0" dataOnRows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C14" firstHeaderRow="1" firstDataRow="2" firstDataCol="1" rowPageCount="1" colPageCount="1"/>
  <pivotFields count="16">
    <pivotField dataField="1" numFmtId="4" showAll="0"/>
    <pivotField dataField="1" numFmtId="4" showAll="0"/>
    <pivotField dataField="1" numFmtId="4" showAll="0"/>
    <pivotField numFmtId="4" showAll="0"/>
    <pivotField dataField="1" numFmtId="4" showAll="0"/>
    <pivotField dataField="1" numFmtId="4" showAll="0"/>
    <pivotField dataField="1" numFmtId="4" showAll="0"/>
    <pivotField dataField="1" numFmtId="4" showAll="0"/>
    <pivotField numFmtId="4" showAll="0"/>
    <pivotField dataField="1" numFmtId="4" showAll="0"/>
    <pivotField dataField="1" numFmtId="4" showAll="0"/>
    <pivotField dataField="1" numFmtId="4" showAll="0"/>
    <pivotField axis="axisPage" showAll="0">
      <items count="5">
        <item x="1"/>
        <item x="2"/>
        <item x="3"/>
        <item x="0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/>
  </pivotFields>
  <rowFields count="1">
    <field x="-2"/>
  </rowFields>
  <row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rowItems>
  <colFields count="1">
    <field x="14"/>
  </colFields>
  <colItems count="2">
    <i>
      <x/>
    </i>
    <i>
      <x v="1"/>
    </i>
  </colItems>
  <pageFields count="1">
    <pageField fld="12" item="2" hier="-1"/>
  </pageFields>
  <dataFields count="10">
    <dataField name="Sum of SALARIES_BENEFITS" fld="0" baseField="0" baseItem="0" numFmtId="4"/>
    <dataField name="Sum of AIRCRAFT_FUEL" fld="1" baseField="0" baseItem="0" numFmtId="4"/>
    <dataField name="Sum of MAINT_MATERIAL" fld="2" baseField="0" baseItem="0" numFmtId="4"/>
    <dataField name="Sum of SERVICES_TOTAL" fld="4" baseField="0" baseItem="0" numFmtId="4"/>
    <dataField name="Sum of LANDING_FEES" fld="5" baseField="0" baseItem="0" numFmtId="4"/>
    <dataField name="Sum of RENTALS" fld="6" baseField="0" baseItem="0" numFmtId="4"/>
    <dataField name="Sum of DEPRECIATION" fld="7" baseField="0" baseItem="0" numFmtId="4"/>
    <dataField name="Sum of OTHER" fld="9" baseField="0" baseItem="0" numFmtId="4"/>
    <dataField name="Sum of TRANS_EXPENSE" fld="10" baseField="0" baseItem="0" numFmtId="4"/>
    <dataField name="Sum of OP_EXPENSE" fld="11" baseField="0" baseItem="0" numFmtId="4"/>
  </dataFields>
  <formats count="1">
    <format dxfId="0">
      <pivotArea outline="0" collapsedLevelsAreSubtotals="1" fieldPosition="0"/>
    </format>
  </formats>
  <pivotTableStyleInfo name="PivotStyleLight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AE5CC-8860-4859-8B2A-16F81915D9DF}" name="Raw_Table" displayName="Raw_Table" ref="A1:AP772" totalsRowShown="0">
  <autoFilter ref="A1:AP772" xr:uid="{174AE5CC-8860-4859-8B2A-16F81915D9DF}"/>
  <tableColumns count="42">
    <tableColumn id="1" xr3:uid="{5BF8E269-9182-4ABC-B4BE-8A4155103A03}" name="SALARIES_MGT"/>
    <tableColumn id="2" xr3:uid="{E9D2C428-7DB0-4164-BF03-B531B924C84F}" name="SALARIES_FLIGHT"/>
    <tableColumn id="3" xr3:uid="{3BFF8A6F-9727-4785-BE27-40E813155736}" name="SALARIES_MAINT"/>
    <tableColumn id="4" xr3:uid="{15B9DDD9-9EE6-4484-9B9C-8BE1451A3122}" name="SALARIES_TRAFFIC"/>
    <tableColumn id="5" xr3:uid="{1E1100BA-B2B9-4C5B-A67A-F278CB72AF8B}" name="SALARIES_OTHER"/>
    <tableColumn id="6" xr3:uid="{FD37D40B-B393-4C20-B998-3AC9E09CB1D7}" name="SALARIES"/>
    <tableColumn id="7" xr3:uid="{31A67213-2291-47A9-BB7E-A5FED6D760E1}" name="BENEFITS_PERSONNEL"/>
    <tableColumn id="8" xr3:uid="{E1525F6E-9B36-49A6-A043-EBE0EB1354B0}" name="BENEFITS_PENSIONS"/>
    <tableColumn id="9" xr3:uid="{4F4EFFA7-5934-481D-BA1C-D7B18275531A}" name="BENEFITS_PAYROLL"/>
    <tableColumn id="10" xr3:uid="{3C246FFA-DAE1-4958-B22F-989072490C22}" name="BENEFITS"/>
    <tableColumn id="11" xr3:uid="{358A42EA-637F-4AAD-AB3B-FE393C0D59A1}" name="SALARIES_BENEFITS"/>
    <tableColumn id="12" xr3:uid="{4ADCE1D1-0FB7-455B-A950-A39AB1556297}" name="AIRCRAFT_FUEL"/>
    <tableColumn id="13" xr3:uid="{B3FA87C8-8ED6-43EE-91AE-1F71D25BB45E}" name="MAINT_MATERIAL"/>
    <tableColumn id="14" xr3:uid="{DC6CDB7A-9031-4A8B-B40B-D44C19DE5BC8}" name="FOOD"/>
    <tableColumn id="15" xr3:uid="{DB9C881F-A1F5-4C18-A9E1-F7E0FE76463B}" name="OTHER_MATERIALS"/>
    <tableColumn id="16" xr3:uid="{783B6F31-FE13-461B-A0FC-D6DA2BA055D1}" name="MATERIALS_TOTAL"/>
    <tableColumn id="17" xr3:uid="{EB929D6B-4C20-4D4C-8DC0-71790C690587}" name="ADVERTISING"/>
    <tableColumn id="18" xr3:uid="{D6269338-0768-4C10-9CE4-505F99D8BDF6}" name="COMMUNICATION"/>
    <tableColumn id="19" xr3:uid="{28494D73-36B2-42A2-8B14-E480241EF9F5}" name="INSURANCE"/>
    <tableColumn id="20" xr3:uid="{C886FEF4-D311-43A9-8061-97B79E3E1B2B}" name="OUTSIDE_EQUIP"/>
    <tableColumn id="21" xr3:uid="{B7096D8C-031D-4D41-A293-685C7C967D09}" name="COMMISIONS_PAX"/>
    <tableColumn id="22" xr3:uid="{11B77D3D-0097-4680-AE6F-0576E57C8384}" name="COMMISSIONS_CARGO"/>
    <tableColumn id="23" xr3:uid="{159EB018-975D-4155-BEE4-E4E1075F3436}" name="OTHER_SERVICES"/>
    <tableColumn id="24" xr3:uid="{37F130D4-B87E-4D16-BBB6-8924102ECAEF}" name="SERVICES_TOTAL"/>
    <tableColumn id="25" xr3:uid="{3EFD1759-195C-4F32-99E5-B668F7AC2ECC}" name="LANDING_FEES"/>
    <tableColumn id="26" xr3:uid="{E0052996-95FA-4F10-8EC3-15B449E650A1}" name="RENTALS"/>
    <tableColumn id="27" xr3:uid="{5B370D0E-A417-41B9-B8D8-8AC700C10659}" name="DEPRECIATION"/>
    <tableColumn id="28" xr3:uid="{F3B966B5-6347-4E27-ADF9-B16D6993BBB3}" name="AMORTIZATION"/>
    <tableColumn id="29" xr3:uid="{CCC8AC33-B66F-473B-878B-B14E367A1AB5}" name="OTHER"/>
    <tableColumn id="30" xr3:uid="{A1DF148E-76DB-46B1-AB20-5DB984A9EB33}" name="TRANS_EXPENSE"/>
    <tableColumn id="31" xr3:uid="{F6986210-A9A2-4754-94AD-30A127864910}" name="OP_EXPENSE"/>
    <tableColumn id="32" xr3:uid="{AB2D30DB-3A9A-4388-A4F3-9C7D4B79C393}" name="AIRLINE_ID"/>
    <tableColumn id="33" xr3:uid="{0A481620-824C-4DED-821C-7851B6B4673D}" name="UNIQUE_CARRIER"/>
    <tableColumn id="34" xr3:uid="{F907808C-F3BB-4187-9E5D-1E2CC33EE152}" name="UNIQUE_CARRIER_NAME"/>
    <tableColumn id="35" xr3:uid="{6D00B3EF-888D-43BD-9EBB-58550455C135}" name="CARRIER"/>
    <tableColumn id="36" xr3:uid="{E7DF4FCA-AFE5-41B0-B8A2-D4F75F405628}" name="CARRIER_NAME"/>
    <tableColumn id="37" xr3:uid="{25EDA98E-CBAC-4CC1-A013-B4BAE2ACDE21}" name="UNIQUE_CARRIER_ENTITY"/>
    <tableColumn id="38" xr3:uid="{2D77F9F2-7825-411F-AF6B-271470BAFC87}" name="REGION"/>
    <tableColumn id="39" xr3:uid="{E67CC7D4-189C-4C7D-A81E-0AFCA6382F1E}" name="CARRIER_GROUP_NEW"/>
    <tableColumn id="40" xr3:uid="{D4602AAD-00DB-41B2-AAF7-7B665A27357C}" name="CARRIER_GROUP"/>
    <tableColumn id="41" xr3:uid="{307E46A8-E3BE-4A56-9D75-328B34E2EED2}" name="YEAR"/>
    <tableColumn id="42" xr3:uid="{3B46AA72-5BDD-4805-A56E-4A0E62895167}" name="QUARTER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552FFB-76FC-4B9D-869B-36D8795DA044}" name="Clean_table" displayName="Clean_table" ref="A1:Q113" totalsRowShown="0">
  <autoFilter ref="A1:Q113" xr:uid="{D9552FFB-76FC-4B9D-869B-36D8795DA044}"/>
  <tableColumns count="17">
    <tableColumn id="1" xr3:uid="{6F7D27EF-BADD-4FED-B4AA-BDF6A5E20191}" name="SALARIES_BENEFITS" dataDxfId="14"/>
    <tableColumn id="2" xr3:uid="{53EB9902-E0BA-4294-9065-551855A21577}" name="AIRCRAFT_FUEL" dataDxfId="13"/>
    <tableColumn id="3" xr3:uid="{BDB0D78E-80DF-46CE-938A-04E649127FD5}" name="MAINT_MATERIAL" dataDxfId="12"/>
    <tableColumn id="4" xr3:uid="{03D5FBF4-C209-4BDD-A608-E86AE37FD512}" name="MATERIALS_TOTAL" dataDxfId="11"/>
    <tableColumn id="5" xr3:uid="{DCAC68C0-179B-4D5E-ACFD-186776CE8EE5}" name="SERVICES_TOTAL" dataDxfId="10"/>
    <tableColumn id="6" xr3:uid="{7FAEEF77-099F-4EAE-96A3-0F1C023528F7}" name="LANDING_FEES" dataDxfId="9"/>
    <tableColumn id="7" xr3:uid="{FDDE4B8F-2449-4694-9A39-1079911FFC26}" name="RENTALS" dataDxfId="8"/>
    <tableColumn id="8" xr3:uid="{604886FE-3CEB-4A1D-A5B1-096AD80377FC}" name="DEPRECIATION" dataDxfId="7"/>
    <tableColumn id="9" xr3:uid="{AA76E361-B7B1-467D-81F3-6EB57D171E6A}" name="AMORTIZATION" dataDxfId="6"/>
    <tableColumn id="10" xr3:uid="{94F5B6C8-3143-42E4-BC00-454D60762BED}" name="OTHER" dataDxfId="5"/>
    <tableColumn id="11" xr3:uid="{B7A83AE8-3918-4F4F-A6E8-7E55F16334C1}" name="TRANS_EXPENSE" dataDxfId="4"/>
    <tableColumn id="12" xr3:uid="{A4BE04B1-5615-4BE3-8A54-70D6C746C226}" name="OP_EXPENSE" dataDxfId="3"/>
    <tableColumn id="13" xr3:uid="{A6AFB728-B736-47A1-AB65-D8AFDD57E530}" name="UNIQUE_CARRIER"/>
    <tableColumn id="14" xr3:uid="{6187BE03-0464-4491-8E71-5F02C7B9F137}" name="REGION"/>
    <tableColumn id="15" xr3:uid="{CD751C54-06FA-4440-A662-E335B35A41E0}" name="YEAR"/>
    <tableColumn id="16" xr3:uid="{FE4418AF-C3EA-4C50-872F-3FABD9AFE80F}" name="QUARTER"/>
    <tableColumn id="17" xr3:uid="{3244A0FC-FD2F-49C6-95AE-84B451D766CF}" name="Check">
      <calculatedColumnFormula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51AB0-C97F-4BEC-9733-ED928108CA35}">
  <dimension ref="A1:AP772"/>
  <sheetViews>
    <sheetView topLeftCell="AA1" workbookViewId="0">
      <selection activeCell="AG163" sqref="AG163"/>
    </sheetView>
  </sheetViews>
  <sheetFormatPr defaultRowHeight="15" x14ac:dyDescent="0.25"/>
  <cols>
    <col min="1" max="1" width="16.5703125" customWidth="1"/>
    <col min="2" max="2" width="19" customWidth="1"/>
    <col min="3" max="3" width="18.28515625" customWidth="1"/>
    <col min="4" max="4" width="20" customWidth="1"/>
    <col min="5" max="5" width="18.85546875" customWidth="1"/>
    <col min="6" max="6" width="11.7109375" customWidth="1"/>
    <col min="7" max="7" width="23.7109375" customWidth="1"/>
    <col min="8" max="8" width="22" customWidth="1"/>
    <col min="9" max="9" width="20.7109375" customWidth="1"/>
    <col min="10" max="10" width="11.7109375" customWidth="1"/>
    <col min="11" max="11" width="21.140625" customWidth="1"/>
    <col min="12" max="12" width="17.28515625" customWidth="1"/>
    <col min="13" max="13" width="18.5703125" customWidth="1"/>
    <col min="15" max="15" width="20.28515625" customWidth="1"/>
    <col min="16" max="16" width="19.5703125" customWidth="1"/>
    <col min="17" max="17" width="15.42578125" customWidth="1"/>
    <col min="18" max="18" width="19.42578125" customWidth="1"/>
    <col min="19" max="19" width="14" customWidth="1"/>
    <col min="20" max="20" width="17.5703125" customWidth="1"/>
    <col min="21" max="21" width="19.7109375" customWidth="1"/>
    <col min="22" max="22" width="24.140625" customWidth="1"/>
    <col min="23" max="23" width="19.28515625" customWidth="1"/>
    <col min="24" max="24" width="18.5703125" customWidth="1"/>
    <col min="25" max="25" width="16.85546875" customWidth="1"/>
    <col min="26" max="26" width="11.28515625" customWidth="1"/>
    <col min="27" max="27" width="16.85546875" customWidth="1"/>
    <col min="28" max="28" width="16.7109375" customWidth="1"/>
    <col min="29" max="29" width="9.42578125" customWidth="1"/>
    <col min="30" max="30" width="18.28515625" customWidth="1"/>
    <col min="31" max="31" width="14.85546875" customWidth="1"/>
    <col min="32" max="32" width="13.140625" customWidth="1"/>
    <col min="33" max="33" width="19.28515625" customWidth="1"/>
    <col min="34" max="34" width="25.42578125" customWidth="1"/>
    <col min="35" max="35" width="11.28515625" customWidth="1"/>
    <col min="36" max="36" width="17.42578125" customWidth="1"/>
    <col min="37" max="37" width="26.42578125" customWidth="1"/>
    <col min="38" max="38" width="10.42578125" customWidth="1"/>
    <col min="39" max="39" width="24" customWidth="1"/>
    <col min="40" max="40" width="18.7109375" customWidth="1"/>
    <col min="42" max="42" width="11.7109375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B2">
        <v>326.60000000000002</v>
      </c>
      <c r="F2">
        <v>326.60000000000002</v>
      </c>
      <c r="G2">
        <v>13.03</v>
      </c>
      <c r="H2">
        <v>48.09</v>
      </c>
      <c r="I2">
        <v>36.65</v>
      </c>
      <c r="J2">
        <v>97.78</v>
      </c>
      <c r="K2">
        <v>424.37</v>
      </c>
      <c r="L2">
        <v>170.9</v>
      </c>
      <c r="P2">
        <v>170.9</v>
      </c>
      <c r="R2">
        <v>24.64</v>
      </c>
      <c r="S2">
        <v>85.54</v>
      </c>
      <c r="T2">
        <v>1740.53</v>
      </c>
      <c r="W2">
        <v>408.39</v>
      </c>
      <c r="X2">
        <v>2259.09</v>
      </c>
      <c r="AA2">
        <v>20.78</v>
      </c>
      <c r="AE2">
        <v>2875.13</v>
      </c>
      <c r="AF2">
        <v>21518</v>
      </c>
      <c r="AG2" t="s">
        <v>42</v>
      </c>
      <c r="AH2" t="s">
        <v>43</v>
      </c>
      <c r="AI2" t="s">
        <v>42</v>
      </c>
      <c r="AJ2" t="s">
        <v>43</v>
      </c>
      <c r="AK2">
        <v>1162</v>
      </c>
      <c r="AL2" t="s">
        <v>44</v>
      </c>
      <c r="AM2">
        <v>1</v>
      </c>
      <c r="AN2">
        <v>1</v>
      </c>
      <c r="AO2">
        <v>2025</v>
      </c>
      <c r="AP2">
        <v>1</v>
      </c>
    </row>
    <row r="3" spans="1:42" x14ac:dyDescent="0.25">
      <c r="B3">
        <v>403.6</v>
      </c>
      <c r="F3">
        <v>403.6</v>
      </c>
      <c r="G3">
        <v>30.65</v>
      </c>
      <c r="H3">
        <v>77.41</v>
      </c>
      <c r="I3">
        <v>8.61</v>
      </c>
      <c r="J3">
        <v>116.67</v>
      </c>
      <c r="K3">
        <v>520.27</v>
      </c>
      <c r="L3">
        <v>226.16</v>
      </c>
      <c r="P3">
        <v>226.16</v>
      </c>
      <c r="R3">
        <v>63.16</v>
      </c>
      <c r="S3">
        <v>85.54</v>
      </c>
      <c r="T3">
        <v>1800.15</v>
      </c>
      <c r="W3">
        <v>335.86</v>
      </c>
      <c r="X3">
        <v>2284.6999999999998</v>
      </c>
      <c r="AA3">
        <v>20.78</v>
      </c>
      <c r="AE3">
        <v>3051.91</v>
      </c>
      <c r="AF3">
        <v>21518</v>
      </c>
      <c r="AG3" t="s">
        <v>42</v>
      </c>
      <c r="AH3" t="s">
        <v>43</v>
      </c>
      <c r="AI3" t="s">
        <v>42</v>
      </c>
      <c r="AJ3" t="s">
        <v>43</v>
      </c>
      <c r="AK3">
        <v>1162</v>
      </c>
      <c r="AL3" t="s">
        <v>44</v>
      </c>
      <c r="AM3">
        <v>1</v>
      </c>
      <c r="AN3">
        <v>1</v>
      </c>
      <c r="AO3">
        <v>2025</v>
      </c>
      <c r="AP3">
        <v>3</v>
      </c>
    </row>
    <row r="4" spans="1:42" x14ac:dyDescent="0.25">
      <c r="B4">
        <v>510.58</v>
      </c>
      <c r="F4">
        <v>510.58</v>
      </c>
      <c r="G4">
        <v>54</v>
      </c>
      <c r="H4">
        <v>67.19</v>
      </c>
      <c r="I4">
        <v>4.0599999999999996</v>
      </c>
      <c r="J4">
        <v>125.25</v>
      </c>
      <c r="K4">
        <v>635.82000000000005</v>
      </c>
      <c r="L4">
        <v>288.24</v>
      </c>
      <c r="P4">
        <v>288.24</v>
      </c>
      <c r="R4">
        <v>50.67</v>
      </c>
      <c r="S4">
        <v>35.81</v>
      </c>
      <c r="T4">
        <v>2411.41</v>
      </c>
      <c r="W4">
        <v>426.56</v>
      </c>
      <c r="X4">
        <v>2924.44</v>
      </c>
      <c r="AA4">
        <v>99.84</v>
      </c>
      <c r="AE4">
        <v>3948.34</v>
      </c>
      <c r="AF4">
        <v>21518</v>
      </c>
      <c r="AG4" t="s">
        <v>42</v>
      </c>
      <c r="AH4" t="s">
        <v>43</v>
      </c>
      <c r="AI4" t="s">
        <v>42</v>
      </c>
      <c r="AJ4" t="s">
        <v>43</v>
      </c>
      <c r="AK4">
        <v>1162</v>
      </c>
      <c r="AL4" t="s">
        <v>44</v>
      </c>
      <c r="AM4">
        <v>1</v>
      </c>
      <c r="AN4">
        <v>1</v>
      </c>
      <c r="AO4">
        <v>2025</v>
      </c>
      <c r="AP4">
        <v>4</v>
      </c>
    </row>
    <row r="5" spans="1:42" x14ac:dyDescent="0.25">
      <c r="B5">
        <v>539.07000000000005</v>
      </c>
      <c r="F5">
        <v>539.07000000000005</v>
      </c>
      <c r="G5">
        <v>10.76</v>
      </c>
      <c r="H5">
        <v>46.54</v>
      </c>
      <c r="I5">
        <v>32.450000000000003</v>
      </c>
      <c r="J5">
        <v>89.75</v>
      </c>
      <c r="K5">
        <v>628.82000000000005</v>
      </c>
      <c r="L5">
        <v>208.4</v>
      </c>
      <c r="P5">
        <v>208.4</v>
      </c>
      <c r="R5">
        <v>44.16</v>
      </c>
      <c r="S5">
        <v>85.54</v>
      </c>
      <c r="T5">
        <v>666.96</v>
      </c>
      <c r="W5">
        <v>277.64</v>
      </c>
      <c r="X5">
        <v>1074.3</v>
      </c>
      <c r="AA5">
        <v>20.78</v>
      </c>
      <c r="AE5">
        <v>1932.3</v>
      </c>
      <c r="AF5">
        <v>21518</v>
      </c>
      <c r="AG5" t="s">
        <v>42</v>
      </c>
      <c r="AH5" t="s">
        <v>43</v>
      </c>
      <c r="AI5" t="s">
        <v>42</v>
      </c>
      <c r="AJ5" t="s">
        <v>43</v>
      </c>
      <c r="AK5">
        <v>1162</v>
      </c>
      <c r="AL5" t="s">
        <v>44</v>
      </c>
      <c r="AM5">
        <v>1</v>
      </c>
      <c r="AN5">
        <v>1</v>
      </c>
      <c r="AO5">
        <v>2025</v>
      </c>
      <c r="AP5">
        <v>2</v>
      </c>
    </row>
    <row r="6" spans="1:42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W6">
        <v>0</v>
      </c>
      <c r="X6">
        <v>0</v>
      </c>
      <c r="Y6">
        <v>0</v>
      </c>
      <c r="Z6">
        <v>0</v>
      </c>
      <c r="AA6">
        <v>0</v>
      </c>
      <c r="AC6">
        <v>0</v>
      </c>
      <c r="AD6">
        <v>0</v>
      </c>
      <c r="AE6">
        <v>0</v>
      </c>
      <c r="AF6">
        <v>20372</v>
      </c>
      <c r="AG6" t="s">
        <v>45</v>
      </c>
      <c r="AH6" t="s">
        <v>46</v>
      </c>
      <c r="AI6" t="s">
        <v>45</v>
      </c>
      <c r="AJ6" t="s">
        <v>46</v>
      </c>
      <c r="AK6">
        <v>16770</v>
      </c>
      <c r="AL6" t="s">
        <v>47</v>
      </c>
      <c r="AM6">
        <v>1</v>
      </c>
      <c r="AN6">
        <v>1</v>
      </c>
      <c r="AO6">
        <v>2025</v>
      </c>
      <c r="AP6">
        <v>1</v>
      </c>
    </row>
    <row r="7" spans="1:42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W7">
        <v>0</v>
      </c>
      <c r="X7">
        <v>0</v>
      </c>
      <c r="Y7">
        <v>0</v>
      </c>
      <c r="Z7">
        <v>0</v>
      </c>
      <c r="AA7">
        <v>0</v>
      </c>
      <c r="AC7">
        <v>0</v>
      </c>
      <c r="AD7">
        <v>0</v>
      </c>
      <c r="AE7">
        <v>0</v>
      </c>
      <c r="AF7">
        <v>20372</v>
      </c>
      <c r="AG7" t="s">
        <v>45</v>
      </c>
      <c r="AH7" t="s">
        <v>46</v>
      </c>
      <c r="AI7" t="s">
        <v>45</v>
      </c>
      <c r="AJ7" t="s">
        <v>46</v>
      </c>
      <c r="AK7">
        <v>16770</v>
      </c>
      <c r="AL7" t="s">
        <v>47</v>
      </c>
      <c r="AM7">
        <v>1</v>
      </c>
      <c r="AN7">
        <v>1</v>
      </c>
      <c r="AO7">
        <v>2025</v>
      </c>
      <c r="AP7">
        <v>2</v>
      </c>
    </row>
    <row r="8" spans="1:42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W8">
        <v>0</v>
      </c>
      <c r="X8">
        <v>0</v>
      </c>
      <c r="Y8">
        <v>0</v>
      </c>
      <c r="Z8">
        <v>0</v>
      </c>
      <c r="AA8">
        <v>0</v>
      </c>
      <c r="AC8">
        <v>0</v>
      </c>
      <c r="AD8">
        <v>0</v>
      </c>
      <c r="AE8">
        <v>0</v>
      </c>
      <c r="AF8">
        <v>20372</v>
      </c>
      <c r="AG8" t="s">
        <v>45</v>
      </c>
      <c r="AH8" t="s">
        <v>46</v>
      </c>
      <c r="AI8" t="s">
        <v>45</v>
      </c>
      <c r="AJ8" t="s">
        <v>46</v>
      </c>
      <c r="AK8">
        <v>16770</v>
      </c>
      <c r="AL8" t="s">
        <v>47</v>
      </c>
      <c r="AM8">
        <v>1</v>
      </c>
      <c r="AN8">
        <v>1</v>
      </c>
      <c r="AO8">
        <v>2025</v>
      </c>
      <c r="AP8">
        <v>3</v>
      </c>
    </row>
    <row r="9" spans="1:42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W9">
        <v>0</v>
      </c>
      <c r="X9">
        <v>0</v>
      </c>
      <c r="Y9">
        <v>0</v>
      </c>
      <c r="Z9">
        <v>0</v>
      </c>
      <c r="AA9">
        <v>0</v>
      </c>
      <c r="AC9">
        <v>0</v>
      </c>
      <c r="AD9">
        <v>0</v>
      </c>
      <c r="AE9">
        <v>0</v>
      </c>
      <c r="AF9">
        <v>20372</v>
      </c>
      <c r="AG9" t="s">
        <v>45</v>
      </c>
      <c r="AH9" t="s">
        <v>46</v>
      </c>
      <c r="AI9" t="s">
        <v>45</v>
      </c>
      <c r="AJ9" t="s">
        <v>46</v>
      </c>
      <c r="AK9">
        <v>16770</v>
      </c>
      <c r="AL9" t="s">
        <v>47</v>
      </c>
      <c r="AM9">
        <v>1</v>
      </c>
      <c r="AN9">
        <v>1</v>
      </c>
      <c r="AO9">
        <v>2025</v>
      </c>
      <c r="AP9">
        <v>4</v>
      </c>
    </row>
    <row r="10" spans="1:42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19687</v>
      </c>
      <c r="AG10" t="s">
        <v>48</v>
      </c>
      <c r="AH10" t="s">
        <v>49</v>
      </c>
      <c r="AI10" t="s">
        <v>48</v>
      </c>
      <c r="AJ10" t="s">
        <v>49</v>
      </c>
      <c r="AK10">
        <v>11023</v>
      </c>
      <c r="AL10" t="s">
        <v>50</v>
      </c>
      <c r="AM10">
        <v>2</v>
      </c>
      <c r="AN10">
        <v>2</v>
      </c>
      <c r="AO10">
        <v>2025</v>
      </c>
      <c r="AP10">
        <v>1</v>
      </c>
    </row>
    <row r="11" spans="1:42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19687</v>
      </c>
      <c r="AG11" t="s">
        <v>48</v>
      </c>
      <c r="AH11" t="s">
        <v>49</v>
      </c>
      <c r="AI11" t="s">
        <v>48</v>
      </c>
      <c r="AJ11" t="s">
        <v>49</v>
      </c>
      <c r="AK11">
        <v>11023</v>
      </c>
      <c r="AL11" t="s">
        <v>50</v>
      </c>
      <c r="AM11">
        <v>2</v>
      </c>
      <c r="AN11">
        <v>2</v>
      </c>
      <c r="AO11">
        <v>2025</v>
      </c>
      <c r="AP11">
        <v>2</v>
      </c>
    </row>
    <row r="12" spans="1:42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19687</v>
      </c>
      <c r="AG12" t="s">
        <v>48</v>
      </c>
      <c r="AH12" t="s">
        <v>49</v>
      </c>
      <c r="AI12" t="s">
        <v>48</v>
      </c>
      <c r="AJ12" t="s">
        <v>49</v>
      </c>
      <c r="AK12">
        <v>11023</v>
      </c>
      <c r="AL12" t="s">
        <v>50</v>
      </c>
      <c r="AM12">
        <v>2</v>
      </c>
      <c r="AN12">
        <v>2</v>
      </c>
      <c r="AO12">
        <v>2025</v>
      </c>
      <c r="AP12">
        <v>3</v>
      </c>
    </row>
    <row r="13" spans="1:42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19687</v>
      </c>
      <c r="AG13" t="s">
        <v>48</v>
      </c>
      <c r="AH13" t="s">
        <v>49</v>
      </c>
      <c r="AI13" t="s">
        <v>48</v>
      </c>
      <c r="AJ13" t="s">
        <v>49</v>
      </c>
      <c r="AK13">
        <v>11023</v>
      </c>
      <c r="AL13" t="s">
        <v>50</v>
      </c>
      <c r="AM13">
        <v>2</v>
      </c>
      <c r="AN13">
        <v>2</v>
      </c>
      <c r="AO13">
        <v>2025</v>
      </c>
      <c r="AP13">
        <v>4</v>
      </c>
    </row>
    <row r="14" spans="1:42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20100</v>
      </c>
      <c r="AG14" t="s">
        <v>51</v>
      </c>
      <c r="AH14" t="s">
        <v>52</v>
      </c>
      <c r="AI14" t="s">
        <v>51</v>
      </c>
      <c r="AJ14" t="s">
        <v>52</v>
      </c>
      <c r="AK14">
        <v>6758</v>
      </c>
      <c r="AL14" t="s">
        <v>44</v>
      </c>
      <c r="AM14">
        <v>3</v>
      </c>
      <c r="AN14">
        <v>3</v>
      </c>
      <c r="AO14">
        <v>2025</v>
      </c>
      <c r="AP14">
        <v>3</v>
      </c>
    </row>
    <row r="15" spans="1:42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20100</v>
      </c>
      <c r="AG15" t="s">
        <v>51</v>
      </c>
      <c r="AH15" t="s">
        <v>52</v>
      </c>
      <c r="AI15" t="s">
        <v>51</v>
      </c>
      <c r="AJ15" t="s">
        <v>52</v>
      </c>
      <c r="AK15">
        <v>6758</v>
      </c>
      <c r="AL15" t="s">
        <v>44</v>
      </c>
      <c r="AM15">
        <v>3</v>
      </c>
      <c r="AN15">
        <v>3</v>
      </c>
      <c r="AO15">
        <v>2025</v>
      </c>
      <c r="AP15">
        <v>4</v>
      </c>
    </row>
    <row r="16" spans="1:42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20100</v>
      </c>
      <c r="AG16" t="s">
        <v>51</v>
      </c>
      <c r="AH16" t="s">
        <v>52</v>
      </c>
      <c r="AI16" t="s">
        <v>51</v>
      </c>
      <c r="AJ16" t="s">
        <v>52</v>
      </c>
      <c r="AK16">
        <v>16757</v>
      </c>
      <c r="AL16" t="s">
        <v>53</v>
      </c>
      <c r="AM16">
        <v>3</v>
      </c>
      <c r="AN16">
        <v>3</v>
      </c>
      <c r="AO16">
        <v>2025</v>
      </c>
      <c r="AP16">
        <v>1</v>
      </c>
    </row>
    <row r="17" spans="1:42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20100</v>
      </c>
      <c r="AG17" t="s">
        <v>51</v>
      </c>
      <c r="AH17" t="s">
        <v>52</v>
      </c>
      <c r="AI17" t="s">
        <v>51</v>
      </c>
      <c r="AJ17" t="s">
        <v>52</v>
      </c>
      <c r="AK17">
        <v>16757</v>
      </c>
      <c r="AL17" t="s">
        <v>53</v>
      </c>
      <c r="AM17">
        <v>3</v>
      </c>
      <c r="AN17">
        <v>3</v>
      </c>
      <c r="AO17">
        <v>2025</v>
      </c>
      <c r="AP17">
        <v>2</v>
      </c>
    </row>
    <row r="18" spans="1:42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20100</v>
      </c>
      <c r="AG18" t="s">
        <v>51</v>
      </c>
      <c r="AH18" t="s">
        <v>52</v>
      </c>
      <c r="AI18" t="s">
        <v>51</v>
      </c>
      <c r="AJ18" t="s">
        <v>52</v>
      </c>
      <c r="AK18">
        <v>16757</v>
      </c>
      <c r="AL18" t="s">
        <v>53</v>
      </c>
      <c r="AM18">
        <v>3</v>
      </c>
      <c r="AN18">
        <v>3</v>
      </c>
      <c r="AO18">
        <v>2025</v>
      </c>
      <c r="AP18">
        <v>3</v>
      </c>
    </row>
    <row r="19" spans="1:42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20100</v>
      </c>
      <c r="AG19" t="s">
        <v>51</v>
      </c>
      <c r="AH19" t="s">
        <v>52</v>
      </c>
      <c r="AI19" t="s">
        <v>51</v>
      </c>
      <c r="AJ19" t="s">
        <v>52</v>
      </c>
      <c r="AK19">
        <v>16757</v>
      </c>
      <c r="AL19" t="s">
        <v>53</v>
      </c>
      <c r="AM19">
        <v>3</v>
      </c>
      <c r="AN19">
        <v>3</v>
      </c>
      <c r="AO19">
        <v>2025</v>
      </c>
      <c r="AP19">
        <v>4</v>
      </c>
    </row>
    <row r="20" spans="1:42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20452</v>
      </c>
      <c r="AG20" t="s">
        <v>54</v>
      </c>
      <c r="AH20" t="s">
        <v>55</v>
      </c>
      <c r="AI20" t="s">
        <v>54</v>
      </c>
      <c r="AJ20" t="s">
        <v>55</v>
      </c>
      <c r="AK20">
        <v>11029</v>
      </c>
      <c r="AL20" t="s">
        <v>50</v>
      </c>
      <c r="AM20">
        <v>3</v>
      </c>
      <c r="AN20">
        <v>3</v>
      </c>
      <c r="AO20">
        <v>2025</v>
      </c>
      <c r="AP20">
        <v>1</v>
      </c>
    </row>
    <row r="21" spans="1:42" x14ac:dyDescent="0.25">
      <c r="A21">
        <v>0</v>
      </c>
      <c r="B21">
        <v>28.32</v>
      </c>
      <c r="C21">
        <v>32.18</v>
      </c>
      <c r="D21">
        <v>-0.28999999999999998</v>
      </c>
      <c r="E21">
        <v>0</v>
      </c>
      <c r="F21">
        <v>60.2</v>
      </c>
      <c r="G21">
        <v>43.43</v>
      </c>
      <c r="H21">
        <v>6.65</v>
      </c>
      <c r="I21">
        <v>16.93</v>
      </c>
      <c r="J21">
        <v>67.010000000000005</v>
      </c>
      <c r="K21">
        <v>127.21</v>
      </c>
      <c r="L21">
        <v>364.94</v>
      </c>
      <c r="M21">
        <v>0.05</v>
      </c>
      <c r="N21">
        <v>0</v>
      </c>
      <c r="O21">
        <v>0.13</v>
      </c>
      <c r="P21">
        <v>365.12</v>
      </c>
      <c r="Q21">
        <v>0</v>
      </c>
      <c r="R21">
        <v>0.42</v>
      </c>
      <c r="S21">
        <v>0</v>
      </c>
      <c r="T21">
        <v>0</v>
      </c>
      <c r="U21">
        <v>0</v>
      </c>
      <c r="V21">
        <v>0</v>
      </c>
      <c r="W21">
        <v>347.1</v>
      </c>
      <c r="X21">
        <v>347.52</v>
      </c>
      <c r="Y21">
        <v>20.47</v>
      </c>
      <c r="Z21">
        <v>12.81</v>
      </c>
      <c r="AA21">
        <v>0</v>
      </c>
      <c r="AB21">
        <v>0</v>
      </c>
      <c r="AC21">
        <v>78.78</v>
      </c>
      <c r="AD21">
        <v>0</v>
      </c>
      <c r="AE21">
        <v>951.91</v>
      </c>
      <c r="AF21">
        <v>20169</v>
      </c>
      <c r="AG21" t="s">
        <v>56</v>
      </c>
      <c r="AH21" t="s">
        <v>57</v>
      </c>
      <c r="AI21" t="s">
        <v>56</v>
      </c>
      <c r="AJ21" t="s">
        <v>57</v>
      </c>
      <c r="AK21">
        <v>11040</v>
      </c>
      <c r="AL21" t="s">
        <v>47</v>
      </c>
      <c r="AM21">
        <v>2</v>
      </c>
      <c r="AN21">
        <v>2</v>
      </c>
      <c r="AO21">
        <v>2025</v>
      </c>
      <c r="AP21">
        <v>4</v>
      </c>
    </row>
    <row r="22" spans="1:42" x14ac:dyDescent="0.25">
      <c r="A22">
        <v>0</v>
      </c>
      <c r="B22">
        <v>149.47</v>
      </c>
      <c r="C22">
        <v>123.01</v>
      </c>
      <c r="D22">
        <v>60.05</v>
      </c>
      <c r="E22">
        <v>7.41</v>
      </c>
      <c r="F22">
        <v>339.94</v>
      </c>
      <c r="G22">
        <v>292.13</v>
      </c>
      <c r="H22">
        <v>43.76</v>
      </c>
      <c r="I22">
        <v>59.37</v>
      </c>
      <c r="J22">
        <v>395.27</v>
      </c>
      <c r="K22">
        <v>735.21</v>
      </c>
      <c r="L22">
        <v>514.17999999999995</v>
      </c>
      <c r="M22">
        <v>1.2</v>
      </c>
      <c r="N22">
        <v>0</v>
      </c>
      <c r="O22">
        <v>1.17</v>
      </c>
      <c r="P22">
        <v>516.54999999999995</v>
      </c>
      <c r="Q22">
        <v>0</v>
      </c>
      <c r="R22">
        <v>1.41</v>
      </c>
      <c r="S22">
        <v>4.33</v>
      </c>
      <c r="T22">
        <v>0</v>
      </c>
      <c r="U22">
        <v>0</v>
      </c>
      <c r="V22">
        <v>0</v>
      </c>
      <c r="W22">
        <v>104.4</v>
      </c>
      <c r="X22">
        <v>110.15</v>
      </c>
      <c r="Y22">
        <v>18.23</v>
      </c>
      <c r="Z22">
        <v>23.72</v>
      </c>
      <c r="AA22">
        <v>0</v>
      </c>
      <c r="AB22">
        <v>0</v>
      </c>
      <c r="AC22">
        <v>115.75</v>
      </c>
      <c r="AD22">
        <v>0</v>
      </c>
      <c r="AE22">
        <v>1519.6</v>
      </c>
      <c r="AF22">
        <v>20169</v>
      </c>
      <c r="AG22" t="s">
        <v>56</v>
      </c>
      <c r="AH22" t="s">
        <v>57</v>
      </c>
      <c r="AI22" t="s">
        <v>56</v>
      </c>
      <c r="AJ22" t="s">
        <v>57</v>
      </c>
      <c r="AK22">
        <v>11040</v>
      </c>
      <c r="AL22" t="s">
        <v>47</v>
      </c>
      <c r="AM22">
        <v>2</v>
      </c>
      <c r="AN22">
        <v>2</v>
      </c>
      <c r="AO22">
        <v>2025</v>
      </c>
      <c r="AP22">
        <v>3</v>
      </c>
    </row>
    <row r="23" spans="1:42" x14ac:dyDescent="0.25">
      <c r="A23">
        <v>0</v>
      </c>
      <c r="B23">
        <v>284.77999999999997</v>
      </c>
      <c r="C23">
        <v>116.85</v>
      </c>
      <c r="D23">
        <v>60.75</v>
      </c>
      <c r="E23">
        <v>0</v>
      </c>
      <c r="F23">
        <v>462.38</v>
      </c>
      <c r="G23">
        <v>404.07</v>
      </c>
      <c r="H23">
        <v>76.37</v>
      </c>
      <c r="I23">
        <v>33.549999999999997</v>
      </c>
      <c r="J23">
        <v>514</v>
      </c>
      <c r="K23">
        <v>976.37</v>
      </c>
      <c r="L23">
        <v>211.56</v>
      </c>
      <c r="M23">
        <v>9.7200000000000006</v>
      </c>
      <c r="N23">
        <v>0</v>
      </c>
      <c r="O23">
        <v>1.98</v>
      </c>
      <c r="P23">
        <v>223.25</v>
      </c>
      <c r="Q23">
        <v>0.84</v>
      </c>
      <c r="R23">
        <v>0.92</v>
      </c>
      <c r="S23">
        <v>0</v>
      </c>
      <c r="T23">
        <v>23.18</v>
      </c>
      <c r="U23">
        <v>0</v>
      </c>
      <c r="V23">
        <v>0</v>
      </c>
      <c r="W23">
        <v>187.48</v>
      </c>
      <c r="X23">
        <v>212.42</v>
      </c>
      <c r="Y23">
        <v>60.35</v>
      </c>
      <c r="Z23">
        <v>61.15</v>
      </c>
      <c r="AA23">
        <v>0</v>
      </c>
      <c r="AB23">
        <v>0</v>
      </c>
      <c r="AC23">
        <v>65.92</v>
      </c>
      <c r="AD23">
        <v>0</v>
      </c>
      <c r="AE23">
        <v>1599.47</v>
      </c>
      <c r="AF23">
        <v>20169</v>
      </c>
      <c r="AG23" t="s">
        <v>56</v>
      </c>
      <c r="AH23" t="s">
        <v>57</v>
      </c>
      <c r="AI23" t="s">
        <v>56</v>
      </c>
      <c r="AJ23" t="s">
        <v>57</v>
      </c>
      <c r="AK23">
        <v>11040</v>
      </c>
      <c r="AL23" t="s">
        <v>47</v>
      </c>
      <c r="AM23">
        <v>2</v>
      </c>
      <c r="AN23">
        <v>2</v>
      </c>
      <c r="AO23">
        <v>2025</v>
      </c>
      <c r="AP23">
        <v>2</v>
      </c>
    </row>
    <row r="24" spans="1:42" x14ac:dyDescent="0.25">
      <c r="A24">
        <v>0</v>
      </c>
      <c r="B24">
        <v>483.58</v>
      </c>
      <c r="C24">
        <v>393.96</v>
      </c>
      <c r="D24">
        <v>227.42</v>
      </c>
      <c r="E24">
        <v>0</v>
      </c>
      <c r="F24">
        <v>1104.95</v>
      </c>
      <c r="G24">
        <v>1293.48</v>
      </c>
      <c r="H24">
        <v>132.44999999999999</v>
      </c>
      <c r="I24">
        <v>183.54</v>
      </c>
      <c r="J24">
        <v>1609.47</v>
      </c>
      <c r="K24">
        <v>2714.42</v>
      </c>
      <c r="L24">
        <v>886.5</v>
      </c>
      <c r="M24">
        <v>165.51</v>
      </c>
      <c r="N24">
        <v>0</v>
      </c>
      <c r="O24">
        <v>3.16</v>
      </c>
      <c r="P24">
        <v>1055.18</v>
      </c>
      <c r="Q24">
        <v>12.78</v>
      </c>
      <c r="R24">
        <v>1.35</v>
      </c>
      <c r="S24">
        <v>0</v>
      </c>
      <c r="T24">
        <v>28.83</v>
      </c>
      <c r="U24">
        <v>0</v>
      </c>
      <c r="V24">
        <v>0</v>
      </c>
      <c r="W24">
        <v>394.29</v>
      </c>
      <c r="X24">
        <v>437.25</v>
      </c>
      <c r="Y24">
        <v>85.5</v>
      </c>
      <c r="Z24">
        <v>70.03</v>
      </c>
      <c r="AA24">
        <v>0</v>
      </c>
      <c r="AB24">
        <v>0</v>
      </c>
      <c r="AC24">
        <v>124.95</v>
      </c>
      <c r="AD24">
        <v>0</v>
      </c>
      <c r="AE24">
        <v>4487.34</v>
      </c>
      <c r="AF24">
        <v>20169</v>
      </c>
      <c r="AG24" t="s">
        <v>56</v>
      </c>
      <c r="AH24" t="s">
        <v>57</v>
      </c>
      <c r="AI24" t="s">
        <v>56</v>
      </c>
      <c r="AJ24" t="s">
        <v>57</v>
      </c>
      <c r="AK24">
        <v>11040</v>
      </c>
      <c r="AL24" t="s">
        <v>47</v>
      </c>
      <c r="AM24">
        <v>2</v>
      </c>
      <c r="AN24">
        <v>2</v>
      </c>
      <c r="AO24">
        <v>2025</v>
      </c>
      <c r="AP24">
        <v>1</v>
      </c>
    </row>
    <row r="25" spans="1:42" x14ac:dyDescent="0.25">
      <c r="A25">
        <v>0</v>
      </c>
      <c r="B25">
        <v>495.19</v>
      </c>
      <c r="C25">
        <v>129.80000000000001</v>
      </c>
      <c r="D25">
        <v>34.6</v>
      </c>
      <c r="E25">
        <v>460.29</v>
      </c>
      <c r="F25">
        <v>1119.8800000000001</v>
      </c>
      <c r="G25">
        <v>0</v>
      </c>
      <c r="H25">
        <v>47.47</v>
      </c>
      <c r="I25">
        <v>106.08</v>
      </c>
      <c r="J25">
        <v>153.55000000000001</v>
      </c>
      <c r="K25">
        <v>1273.42</v>
      </c>
      <c r="L25">
        <v>1990.46</v>
      </c>
      <c r="M25">
        <v>3725.83</v>
      </c>
      <c r="N25">
        <v>370.66</v>
      </c>
      <c r="O25">
        <v>0</v>
      </c>
      <c r="P25">
        <v>6086.95</v>
      </c>
      <c r="Q25">
        <v>0</v>
      </c>
      <c r="R25">
        <v>0</v>
      </c>
      <c r="S25">
        <v>70.11</v>
      </c>
      <c r="T25">
        <v>0</v>
      </c>
      <c r="U25">
        <v>0</v>
      </c>
      <c r="V25">
        <v>0</v>
      </c>
      <c r="W25">
        <v>0</v>
      </c>
      <c r="X25">
        <v>70.11</v>
      </c>
      <c r="Y25">
        <v>468.22</v>
      </c>
      <c r="Z25">
        <v>1415.47</v>
      </c>
      <c r="AA25">
        <v>244.38</v>
      </c>
      <c r="AB25">
        <v>0</v>
      </c>
      <c r="AC25">
        <v>2610.13</v>
      </c>
      <c r="AD25">
        <v>0</v>
      </c>
      <c r="AE25">
        <v>12168.69</v>
      </c>
      <c r="AF25">
        <v>20405</v>
      </c>
      <c r="AG25" t="s">
        <v>58</v>
      </c>
      <c r="AH25" t="s">
        <v>59</v>
      </c>
      <c r="AI25" t="s">
        <v>58</v>
      </c>
      <c r="AJ25" t="s">
        <v>59</v>
      </c>
      <c r="AK25">
        <v>7029</v>
      </c>
      <c r="AL25" t="s">
        <v>44</v>
      </c>
      <c r="AM25">
        <v>2</v>
      </c>
      <c r="AN25">
        <v>2</v>
      </c>
      <c r="AO25">
        <v>2025</v>
      </c>
      <c r="AP25">
        <v>2</v>
      </c>
    </row>
    <row r="26" spans="1:42" x14ac:dyDescent="0.25">
      <c r="A26">
        <v>0</v>
      </c>
      <c r="B26">
        <v>1162.8399999999999</v>
      </c>
      <c r="C26">
        <v>287.14999999999998</v>
      </c>
      <c r="D26">
        <v>81.45</v>
      </c>
      <c r="E26">
        <v>878.49</v>
      </c>
      <c r="F26">
        <v>2409.9299999999998</v>
      </c>
      <c r="G26">
        <v>0</v>
      </c>
      <c r="H26">
        <v>154.85</v>
      </c>
      <c r="I26">
        <v>168.66</v>
      </c>
      <c r="J26">
        <v>323.51</v>
      </c>
      <c r="K26">
        <v>2733.43</v>
      </c>
      <c r="L26">
        <v>3329.61</v>
      </c>
      <c r="M26">
        <v>462.14</v>
      </c>
      <c r="N26">
        <v>554.41</v>
      </c>
      <c r="O26">
        <v>0</v>
      </c>
      <c r="P26">
        <v>4346.17</v>
      </c>
      <c r="Q26">
        <v>0.04</v>
      </c>
      <c r="R26">
        <v>0</v>
      </c>
      <c r="S26">
        <v>110.08</v>
      </c>
      <c r="T26">
        <v>0</v>
      </c>
      <c r="U26">
        <v>0</v>
      </c>
      <c r="V26">
        <v>0</v>
      </c>
      <c r="W26">
        <v>0</v>
      </c>
      <c r="X26">
        <v>110.12</v>
      </c>
      <c r="Y26">
        <v>1143.23</v>
      </c>
      <c r="Z26">
        <v>2367.21</v>
      </c>
      <c r="AA26">
        <v>1021.94</v>
      </c>
      <c r="AB26">
        <v>0</v>
      </c>
      <c r="AC26">
        <v>3223.55</v>
      </c>
      <c r="AD26">
        <v>0</v>
      </c>
      <c r="AE26">
        <v>14945.65</v>
      </c>
      <c r="AF26">
        <v>20405</v>
      </c>
      <c r="AG26" t="s">
        <v>58</v>
      </c>
      <c r="AH26" t="s">
        <v>59</v>
      </c>
      <c r="AI26" t="s">
        <v>58</v>
      </c>
      <c r="AJ26" t="s">
        <v>59</v>
      </c>
      <c r="AK26">
        <v>7029</v>
      </c>
      <c r="AL26" t="s">
        <v>44</v>
      </c>
      <c r="AM26">
        <v>2</v>
      </c>
      <c r="AN26">
        <v>2</v>
      </c>
      <c r="AO26">
        <v>2025</v>
      </c>
      <c r="AP26">
        <v>1</v>
      </c>
    </row>
    <row r="27" spans="1:42" x14ac:dyDescent="0.25">
      <c r="A27">
        <v>0</v>
      </c>
      <c r="B27">
        <v>3271.76</v>
      </c>
      <c r="C27">
        <v>704.05</v>
      </c>
      <c r="D27">
        <v>253.88</v>
      </c>
      <c r="E27">
        <v>136.72</v>
      </c>
      <c r="F27">
        <v>4366.3999999999996</v>
      </c>
      <c r="G27">
        <v>2270.7800000000002</v>
      </c>
      <c r="H27">
        <v>504.73</v>
      </c>
      <c r="I27">
        <v>215.71</v>
      </c>
      <c r="J27">
        <v>2991.22</v>
      </c>
      <c r="K27">
        <v>7357.62</v>
      </c>
      <c r="L27">
        <v>11278.85</v>
      </c>
      <c r="M27">
        <v>5032.74</v>
      </c>
      <c r="N27">
        <v>979.52</v>
      </c>
      <c r="O27">
        <v>0</v>
      </c>
      <c r="P27">
        <v>17291.11</v>
      </c>
      <c r="Q27">
        <v>29.07</v>
      </c>
      <c r="R27">
        <v>0</v>
      </c>
      <c r="S27">
        <v>229.15</v>
      </c>
      <c r="T27">
        <v>0</v>
      </c>
      <c r="U27">
        <v>0</v>
      </c>
      <c r="V27">
        <v>0</v>
      </c>
      <c r="W27">
        <v>3750.74</v>
      </c>
      <c r="X27">
        <v>4008.97</v>
      </c>
      <c r="Y27">
        <v>605.25</v>
      </c>
      <c r="Z27">
        <v>3745.75</v>
      </c>
      <c r="AA27">
        <v>208.19</v>
      </c>
      <c r="AB27">
        <v>0</v>
      </c>
      <c r="AC27">
        <v>957.53</v>
      </c>
      <c r="AD27">
        <v>189.04</v>
      </c>
      <c r="AE27">
        <v>34363.449999999997</v>
      </c>
      <c r="AF27">
        <v>20405</v>
      </c>
      <c r="AG27" t="s">
        <v>58</v>
      </c>
      <c r="AH27" t="s">
        <v>59</v>
      </c>
      <c r="AI27" t="s">
        <v>58</v>
      </c>
      <c r="AJ27" t="s">
        <v>59</v>
      </c>
      <c r="AK27">
        <v>7029</v>
      </c>
      <c r="AL27" t="s">
        <v>44</v>
      </c>
      <c r="AM27">
        <v>2</v>
      </c>
      <c r="AN27">
        <v>2</v>
      </c>
      <c r="AO27">
        <v>2025</v>
      </c>
      <c r="AP27">
        <v>3</v>
      </c>
    </row>
    <row r="28" spans="1:42" x14ac:dyDescent="0.25">
      <c r="A28">
        <v>0</v>
      </c>
      <c r="B28">
        <v>8400.0400000000009</v>
      </c>
      <c r="C28">
        <v>2829.46</v>
      </c>
      <c r="D28">
        <v>674.98</v>
      </c>
      <c r="E28">
        <v>1019.6</v>
      </c>
      <c r="F28">
        <v>12924.08</v>
      </c>
      <c r="G28">
        <v>819.2</v>
      </c>
      <c r="H28">
        <v>4667.54</v>
      </c>
      <c r="I28">
        <v>1172.5999999999999</v>
      </c>
      <c r="J28">
        <v>6659.34</v>
      </c>
      <c r="K28">
        <v>19583.43</v>
      </c>
      <c r="L28">
        <v>15165.71</v>
      </c>
      <c r="M28">
        <v>6109.05</v>
      </c>
      <c r="N28">
        <v>0</v>
      </c>
      <c r="O28">
        <v>657.59</v>
      </c>
      <c r="P28">
        <v>21932.36</v>
      </c>
      <c r="Q28">
        <v>0.66</v>
      </c>
      <c r="R28">
        <v>988.77</v>
      </c>
      <c r="S28">
        <v>178.59</v>
      </c>
      <c r="T28">
        <v>2275.7199999999998</v>
      </c>
      <c r="U28">
        <v>0</v>
      </c>
      <c r="V28">
        <v>13.79</v>
      </c>
      <c r="W28">
        <v>977.48</v>
      </c>
      <c r="X28">
        <v>4435</v>
      </c>
      <c r="Y28">
        <v>1892.03</v>
      </c>
      <c r="Z28">
        <v>1558.67</v>
      </c>
      <c r="AA28">
        <v>2429.75</v>
      </c>
      <c r="AB28">
        <v>34.729999999999997</v>
      </c>
      <c r="AC28">
        <v>2259.08</v>
      </c>
      <c r="AD28">
        <v>0</v>
      </c>
      <c r="AE28">
        <v>54125.04</v>
      </c>
      <c r="AF28">
        <v>19917</v>
      </c>
      <c r="AG28" t="s">
        <v>60</v>
      </c>
      <c r="AH28" t="s">
        <v>61</v>
      </c>
      <c r="AI28" t="s">
        <v>60</v>
      </c>
      <c r="AJ28" t="s">
        <v>61</v>
      </c>
      <c r="AK28">
        <v>16912</v>
      </c>
      <c r="AL28" t="s">
        <v>50</v>
      </c>
      <c r="AM28">
        <v>3</v>
      </c>
      <c r="AN28">
        <v>3</v>
      </c>
      <c r="AO28">
        <v>2025</v>
      </c>
      <c r="AP28">
        <v>1</v>
      </c>
    </row>
    <row r="29" spans="1:42" x14ac:dyDescent="0.25">
      <c r="A29">
        <v>0</v>
      </c>
      <c r="B29">
        <v>8807.18</v>
      </c>
      <c r="C29">
        <v>2829.98</v>
      </c>
      <c r="D29">
        <v>553.77</v>
      </c>
      <c r="E29">
        <v>887.77</v>
      </c>
      <c r="F29">
        <v>13078.69</v>
      </c>
      <c r="G29">
        <v>889.25</v>
      </c>
      <c r="H29">
        <v>4277.43</v>
      </c>
      <c r="I29">
        <v>498.32</v>
      </c>
      <c r="J29">
        <v>5665</v>
      </c>
      <c r="K29">
        <v>18743.7</v>
      </c>
      <c r="L29">
        <v>14698.72</v>
      </c>
      <c r="M29">
        <v>6363.35</v>
      </c>
      <c r="N29">
        <v>0</v>
      </c>
      <c r="O29">
        <v>151.38999999999999</v>
      </c>
      <c r="P29">
        <v>21213.47</v>
      </c>
      <c r="Q29">
        <v>1.1599999999999999</v>
      </c>
      <c r="R29">
        <v>1086.8499999999999</v>
      </c>
      <c r="S29">
        <v>178.87</v>
      </c>
      <c r="T29">
        <v>2314.34</v>
      </c>
      <c r="U29">
        <v>0</v>
      </c>
      <c r="V29">
        <v>15.98</v>
      </c>
      <c r="W29">
        <v>1083.33</v>
      </c>
      <c r="X29">
        <v>4680.54</v>
      </c>
      <c r="Y29">
        <v>1990.22</v>
      </c>
      <c r="Z29">
        <v>1448.35</v>
      </c>
      <c r="AA29">
        <v>2332.5100000000002</v>
      </c>
      <c r="AB29">
        <v>25.77</v>
      </c>
      <c r="AC29">
        <v>2772.97</v>
      </c>
      <c r="AD29">
        <v>0</v>
      </c>
      <c r="AE29">
        <v>53207.51</v>
      </c>
      <c r="AF29">
        <v>19917</v>
      </c>
      <c r="AG29" t="s">
        <v>60</v>
      </c>
      <c r="AH29" t="s">
        <v>61</v>
      </c>
      <c r="AI29" t="s">
        <v>60</v>
      </c>
      <c r="AJ29" t="s">
        <v>61</v>
      </c>
      <c r="AK29">
        <v>16912</v>
      </c>
      <c r="AL29" t="s">
        <v>50</v>
      </c>
      <c r="AM29">
        <v>3</v>
      </c>
      <c r="AN29">
        <v>3</v>
      </c>
      <c r="AO29">
        <v>2025</v>
      </c>
      <c r="AP29">
        <v>3</v>
      </c>
    </row>
    <row r="30" spans="1:42" x14ac:dyDescent="0.25">
      <c r="A30">
        <v>0</v>
      </c>
      <c r="B30">
        <v>8979.8799999999992</v>
      </c>
      <c r="C30">
        <v>2873.95</v>
      </c>
      <c r="D30">
        <v>512.16999999999996</v>
      </c>
      <c r="E30">
        <v>790.32</v>
      </c>
      <c r="F30">
        <v>13156.33</v>
      </c>
      <c r="G30">
        <v>865.5</v>
      </c>
      <c r="H30">
        <v>3892.97</v>
      </c>
      <c r="I30">
        <v>389.59</v>
      </c>
      <c r="J30">
        <v>5148.0600000000004</v>
      </c>
      <c r="K30">
        <v>18304.38</v>
      </c>
      <c r="L30">
        <v>15475.32</v>
      </c>
      <c r="M30">
        <v>6088.36</v>
      </c>
      <c r="N30">
        <v>0</v>
      </c>
      <c r="O30">
        <v>355.86</v>
      </c>
      <c r="P30">
        <v>21919.54</v>
      </c>
      <c r="Q30">
        <v>0.35</v>
      </c>
      <c r="R30">
        <v>1012.97</v>
      </c>
      <c r="S30">
        <v>161.86000000000001</v>
      </c>
      <c r="T30">
        <v>2157.1999999999998</v>
      </c>
      <c r="U30">
        <v>0</v>
      </c>
      <c r="V30">
        <v>15.07</v>
      </c>
      <c r="W30">
        <v>1215.21</v>
      </c>
      <c r="X30">
        <v>4562.66</v>
      </c>
      <c r="Y30">
        <v>1899.91</v>
      </c>
      <c r="Z30">
        <v>3022.46</v>
      </c>
      <c r="AA30">
        <v>2139</v>
      </c>
      <c r="AB30">
        <v>25.36</v>
      </c>
      <c r="AC30">
        <v>2438.1</v>
      </c>
      <c r="AD30">
        <v>0</v>
      </c>
      <c r="AE30">
        <v>54311.41</v>
      </c>
      <c r="AF30">
        <v>19917</v>
      </c>
      <c r="AG30" t="s">
        <v>60</v>
      </c>
      <c r="AH30" t="s">
        <v>61</v>
      </c>
      <c r="AI30" t="s">
        <v>60</v>
      </c>
      <c r="AJ30" t="s">
        <v>61</v>
      </c>
      <c r="AK30">
        <v>16912</v>
      </c>
      <c r="AL30" t="s">
        <v>50</v>
      </c>
      <c r="AM30">
        <v>3</v>
      </c>
      <c r="AN30">
        <v>3</v>
      </c>
      <c r="AO30">
        <v>2025</v>
      </c>
      <c r="AP30">
        <v>4</v>
      </c>
    </row>
    <row r="31" spans="1:42" x14ac:dyDescent="0.25">
      <c r="A31">
        <v>0</v>
      </c>
      <c r="B31">
        <v>9115.6299999999992</v>
      </c>
      <c r="C31">
        <v>3028.41</v>
      </c>
      <c r="D31">
        <v>604.78</v>
      </c>
      <c r="E31">
        <v>925.31</v>
      </c>
      <c r="F31">
        <v>13674.12</v>
      </c>
      <c r="G31">
        <v>874.28</v>
      </c>
      <c r="H31">
        <v>4636.7</v>
      </c>
      <c r="I31">
        <v>757.99</v>
      </c>
      <c r="J31">
        <v>6268.96</v>
      </c>
      <c r="K31">
        <v>19943.09</v>
      </c>
      <c r="L31">
        <v>15020.23</v>
      </c>
      <c r="M31">
        <v>6130.07</v>
      </c>
      <c r="N31">
        <v>0</v>
      </c>
      <c r="O31">
        <v>350.43</v>
      </c>
      <c r="P31">
        <v>21500.73</v>
      </c>
      <c r="Q31">
        <v>0.4</v>
      </c>
      <c r="R31">
        <v>1113.01</v>
      </c>
      <c r="S31">
        <v>198.98</v>
      </c>
      <c r="T31">
        <v>2456.31</v>
      </c>
      <c r="U31">
        <v>0</v>
      </c>
      <c r="V31">
        <v>14.71</v>
      </c>
      <c r="W31">
        <v>1144.1600000000001</v>
      </c>
      <c r="X31">
        <v>4927.57</v>
      </c>
      <c r="Y31">
        <v>1947.97</v>
      </c>
      <c r="Z31">
        <v>1650.62</v>
      </c>
      <c r="AA31">
        <v>2513.41</v>
      </c>
      <c r="AB31">
        <v>52.24</v>
      </c>
      <c r="AC31">
        <v>2816.46</v>
      </c>
      <c r="AD31">
        <v>0</v>
      </c>
      <c r="AE31">
        <v>55352.08</v>
      </c>
      <c r="AF31">
        <v>19917</v>
      </c>
      <c r="AG31" t="s">
        <v>60</v>
      </c>
      <c r="AH31" t="s">
        <v>61</v>
      </c>
      <c r="AI31" t="s">
        <v>60</v>
      </c>
      <c r="AJ31" t="s">
        <v>61</v>
      </c>
      <c r="AK31">
        <v>16912</v>
      </c>
      <c r="AL31" t="s">
        <v>50</v>
      </c>
      <c r="AM31">
        <v>3</v>
      </c>
      <c r="AN31">
        <v>3</v>
      </c>
      <c r="AO31">
        <v>2025</v>
      </c>
      <c r="AP31">
        <v>2</v>
      </c>
    </row>
    <row r="32" spans="1:42" x14ac:dyDescent="0.25">
      <c r="A32">
        <v>0</v>
      </c>
      <c r="B32">
        <v>10455.02</v>
      </c>
      <c r="C32">
        <v>5089.43</v>
      </c>
      <c r="D32">
        <v>1880.95</v>
      </c>
      <c r="E32">
        <v>988.32</v>
      </c>
      <c r="F32">
        <v>18413.71</v>
      </c>
      <c r="G32">
        <v>6024.91</v>
      </c>
      <c r="H32">
        <v>2930.43</v>
      </c>
      <c r="I32">
        <v>713.82</v>
      </c>
      <c r="J32">
        <v>9669.16</v>
      </c>
      <c r="K32">
        <v>28082.87</v>
      </c>
      <c r="L32">
        <v>52994.95</v>
      </c>
      <c r="M32">
        <v>12053.93</v>
      </c>
      <c r="N32">
        <v>1251.1099999999999</v>
      </c>
      <c r="O32">
        <v>0</v>
      </c>
      <c r="P32">
        <v>66299.98</v>
      </c>
      <c r="Q32">
        <v>210.14</v>
      </c>
      <c r="R32">
        <v>0</v>
      </c>
      <c r="S32">
        <v>1656.51</v>
      </c>
      <c r="T32">
        <v>0</v>
      </c>
      <c r="U32">
        <v>0</v>
      </c>
      <c r="V32">
        <v>0</v>
      </c>
      <c r="W32">
        <v>27627.26</v>
      </c>
      <c r="X32">
        <v>29493.9</v>
      </c>
      <c r="Y32">
        <v>2790.9</v>
      </c>
      <c r="Z32">
        <v>24247.279999999999</v>
      </c>
      <c r="AA32">
        <v>1016.99</v>
      </c>
      <c r="AB32">
        <v>0</v>
      </c>
      <c r="AC32">
        <v>5845.65</v>
      </c>
      <c r="AD32">
        <v>116.96</v>
      </c>
      <c r="AE32">
        <v>157894.54</v>
      </c>
      <c r="AF32">
        <v>20405</v>
      </c>
      <c r="AG32" t="s">
        <v>58</v>
      </c>
      <c r="AH32" t="s">
        <v>59</v>
      </c>
      <c r="AI32" t="s">
        <v>58</v>
      </c>
      <c r="AJ32" t="s">
        <v>59</v>
      </c>
      <c r="AK32">
        <v>11049</v>
      </c>
      <c r="AL32" t="s">
        <v>47</v>
      </c>
      <c r="AM32">
        <v>2</v>
      </c>
      <c r="AN32">
        <v>2</v>
      </c>
      <c r="AO32">
        <v>2025</v>
      </c>
      <c r="AP32">
        <v>3</v>
      </c>
    </row>
    <row r="33" spans="1:42" x14ac:dyDescent="0.25">
      <c r="A33">
        <v>0</v>
      </c>
      <c r="B33">
        <v>13109.78</v>
      </c>
      <c r="C33">
        <v>3436.37</v>
      </c>
      <c r="D33">
        <v>915.91</v>
      </c>
      <c r="E33">
        <v>12185.87</v>
      </c>
      <c r="F33">
        <v>29647.93</v>
      </c>
      <c r="G33">
        <v>0</v>
      </c>
      <c r="H33">
        <v>1092.0899999999999</v>
      </c>
      <c r="I33">
        <v>1003.75</v>
      </c>
      <c r="J33">
        <v>2095.84</v>
      </c>
      <c r="K33">
        <v>31743.77</v>
      </c>
      <c r="L33">
        <v>62772.25</v>
      </c>
      <c r="M33">
        <v>15710.27</v>
      </c>
      <c r="N33">
        <v>1071.05</v>
      </c>
      <c r="O33">
        <v>0</v>
      </c>
      <c r="P33">
        <v>79553.570000000007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11809.01</v>
      </c>
      <c r="Z33">
        <v>26810.27</v>
      </c>
      <c r="AA33">
        <v>4389.0200000000004</v>
      </c>
      <c r="AB33">
        <v>0</v>
      </c>
      <c r="AC33">
        <v>26642.84</v>
      </c>
      <c r="AD33">
        <v>0</v>
      </c>
      <c r="AE33">
        <v>180948.48000000001</v>
      </c>
      <c r="AF33">
        <v>20405</v>
      </c>
      <c r="AG33" t="s">
        <v>58</v>
      </c>
      <c r="AH33" t="s">
        <v>59</v>
      </c>
      <c r="AI33" t="s">
        <v>58</v>
      </c>
      <c r="AJ33" t="s">
        <v>59</v>
      </c>
      <c r="AK33">
        <v>11049</v>
      </c>
      <c r="AL33" t="s">
        <v>47</v>
      </c>
      <c r="AM33">
        <v>2</v>
      </c>
      <c r="AN33">
        <v>2</v>
      </c>
      <c r="AO33">
        <v>2025</v>
      </c>
      <c r="AP33">
        <v>2</v>
      </c>
    </row>
    <row r="34" spans="1:42" x14ac:dyDescent="0.25">
      <c r="A34">
        <v>0</v>
      </c>
      <c r="B34">
        <v>15651.57</v>
      </c>
      <c r="C34">
        <v>3830.37</v>
      </c>
      <c r="D34">
        <v>719.25</v>
      </c>
      <c r="E34">
        <v>6495.18</v>
      </c>
      <c r="F34">
        <v>26696.36</v>
      </c>
      <c r="G34">
        <v>3537.02</v>
      </c>
      <c r="H34">
        <v>1237.22</v>
      </c>
      <c r="I34">
        <v>2191.4299999999998</v>
      </c>
      <c r="J34">
        <v>6965.67</v>
      </c>
      <c r="K34">
        <v>33662.03</v>
      </c>
      <c r="L34">
        <v>0</v>
      </c>
      <c r="M34">
        <v>3474.37</v>
      </c>
      <c r="N34">
        <v>0</v>
      </c>
      <c r="O34">
        <v>824.13</v>
      </c>
      <c r="P34">
        <v>4298.5</v>
      </c>
      <c r="Q34">
        <v>0</v>
      </c>
      <c r="R34">
        <v>229.31</v>
      </c>
      <c r="S34">
        <v>515.71</v>
      </c>
      <c r="T34">
        <v>8550.77</v>
      </c>
      <c r="U34">
        <v>0</v>
      </c>
      <c r="V34">
        <v>0</v>
      </c>
      <c r="W34">
        <v>3618.12</v>
      </c>
      <c r="X34">
        <v>12913.92</v>
      </c>
      <c r="Y34">
        <v>0</v>
      </c>
      <c r="Z34">
        <v>19091.12</v>
      </c>
      <c r="AA34">
        <v>125.82</v>
      </c>
      <c r="AB34">
        <v>0</v>
      </c>
      <c r="AC34">
        <v>2092.06</v>
      </c>
      <c r="AD34">
        <v>0</v>
      </c>
      <c r="AE34">
        <v>72183.44</v>
      </c>
      <c r="AF34">
        <v>20500</v>
      </c>
      <c r="AG34" t="s">
        <v>62</v>
      </c>
      <c r="AH34" t="s">
        <v>63</v>
      </c>
      <c r="AI34" t="s">
        <v>62</v>
      </c>
      <c r="AJ34" t="s">
        <v>63</v>
      </c>
      <c r="AK34">
        <v>7041</v>
      </c>
      <c r="AL34" t="s">
        <v>44</v>
      </c>
      <c r="AM34">
        <v>2</v>
      </c>
      <c r="AN34">
        <v>2</v>
      </c>
      <c r="AO34">
        <v>2025</v>
      </c>
      <c r="AP34">
        <v>1</v>
      </c>
    </row>
    <row r="35" spans="1:42" x14ac:dyDescent="0.25">
      <c r="A35">
        <v>0</v>
      </c>
      <c r="B35">
        <v>15937.56</v>
      </c>
      <c r="C35">
        <v>3935.58</v>
      </c>
      <c r="D35">
        <v>1116.33</v>
      </c>
      <c r="E35">
        <v>12040.31</v>
      </c>
      <c r="F35">
        <v>33029.78</v>
      </c>
      <c r="G35">
        <v>0</v>
      </c>
      <c r="H35">
        <v>2032.18</v>
      </c>
      <c r="I35">
        <v>989.84</v>
      </c>
      <c r="J35">
        <v>3022.03</v>
      </c>
      <c r="K35">
        <v>36051.81</v>
      </c>
      <c r="L35">
        <v>62097.06</v>
      </c>
      <c r="M35">
        <v>5156.5600000000004</v>
      </c>
      <c r="N35">
        <v>1457.79</v>
      </c>
      <c r="O35">
        <v>0</v>
      </c>
      <c r="P35">
        <v>68711.399999999994</v>
      </c>
      <c r="Q35">
        <v>0.61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0.61</v>
      </c>
      <c r="Y35">
        <v>15985.7</v>
      </c>
      <c r="Z35">
        <v>26303.24</v>
      </c>
      <c r="AA35">
        <v>4387.8999999999996</v>
      </c>
      <c r="AB35">
        <v>0</v>
      </c>
      <c r="AC35">
        <v>16102.75</v>
      </c>
      <c r="AD35">
        <v>0</v>
      </c>
      <c r="AE35">
        <v>167543.42000000001</v>
      </c>
      <c r="AF35">
        <v>20405</v>
      </c>
      <c r="AG35" t="s">
        <v>58</v>
      </c>
      <c r="AH35" t="s">
        <v>59</v>
      </c>
      <c r="AI35" t="s">
        <v>58</v>
      </c>
      <c r="AJ35" t="s">
        <v>59</v>
      </c>
      <c r="AK35">
        <v>11049</v>
      </c>
      <c r="AL35" t="s">
        <v>47</v>
      </c>
      <c r="AM35">
        <v>2</v>
      </c>
      <c r="AN35">
        <v>2</v>
      </c>
      <c r="AO35">
        <v>2025</v>
      </c>
      <c r="AP35">
        <v>1</v>
      </c>
    </row>
    <row r="36" spans="1:42" x14ac:dyDescent="0.25">
      <c r="A36">
        <v>0</v>
      </c>
      <c r="B36">
        <v>16761.330000000002</v>
      </c>
      <c r="C36">
        <v>4832.7299999999996</v>
      </c>
      <c r="D36">
        <v>712.63</v>
      </c>
      <c r="E36">
        <v>6797.73</v>
      </c>
      <c r="F36">
        <v>29104.42</v>
      </c>
      <c r="G36">
        <v>3702.85</v>
      </c>
      <c r="H36">
        <v>1809.62</v>
      </c>
      <c r="I36">
        <v>2178.7600000000002</v>
      </c>
      <c r="J36">
        <v>7691.23</v>
      </c>
      <c r="K36">
        <v>36795.65</v>
      </c>
      <c r="L36">
        <v>0</v>
      </c>
      <c r="M36">
        <v>4789.5</v>
      </c>
      <c r="N36">
        <v>0</v>
      </c>
      <c r="O36">
        <v>742.39</v>
      </c>
      <c r="P36">
        <v>5531.89</v>
      </c>
      <c r="Q36">
        <v>0</v>
      </c>
      <c r="R36">
        <v>229.84</v>
      </c>
      <c r="S36">
        <v>1022.68</v>
      </c>
      <c r="T36">
        <v>8811.7099999999991</v>
      </c>
      <c r="U36">
        <v>0</v>
      </c>
      <c r="V36">
        <v>0</v>
      </c>
      <c r="W36">
        <v>3688.77</v>
      </c>
      <c r="X36">
        <v>13753</v>
      </c>
      <c r="Y36">
        <v>0</v>
      </c>
      <c r="Z36">
        <v>18648.740000000002</v>
      </c>
      <c r="AA36">
        <v>124.51</v>
      </c>
      <c r="AB36">
        <v>0</v>
      </c>
      <c r="AC36">
        <v>592.66999999999996</v>
      </c>
      <c r="AD36">
        <v>0</v>
      </c>
      <c r="AE36">
        <v>75446.45</v>
      </c>
      <c r="AF36">
        <v>20500</v>
      </c>
      <c r="AG36" t="s">
        <v>62</v>
      </c>
      <c r="AH36" t="s">
        <v>63</v>
      </c>
      <c r="AI36" t="s">
        <v>62</v>
      </c>
      <c r="AJ36" t="s">
        <v>63</v>
      </c>
      <c r="AK36">
        <v>7041</v>
      </c>
      <c r="AL36" t="s">
        <v>44</v>
      </c>
      <c r="AM36">
        <v>2</v>
      </c>
      <c r="AN36">
        <v>2</v>
      </c>
      <c r="AO36">
        <v>2025</v>
      </c>
      <c r="AP36">
        <v>2</v>
      </c>
    </row>
    <row r="37" spans="1:42" x14ac:dyDescent="0.25">
      <c r="A37">
        <v>0</v>
      </c>
      <c r="B37">
        <v>17596.740000000002</v>
      </c>
      <c r="C37">
        <v>5400.51</v>
      </c>
      <c r="D37">
        <v>738.67</v>
      </c>
      <c r="E37">
        <v>7228.47</v>
      </c>
      <c r="F37">
        <v>30964.38</v>
      </c>
      <c r="G37">
        <v>4189.57</v>
      </c>
      <c r="H37">
        <v>3121.64</v>
      </c>
      <c r="I37">
        <v>2128.1999999999998</v>
      </c>
      <c r="J37">
        <v>9439.42</v>
      </c>
      <c r="K37">
        <v>40403.800000000003</v>
      </c>
      <c r="L37">
        <v>0</v>
      </c>
      <c r="M37">
        <v>5901.32</v>
      </c>
      <c r="N37">
        <v>0</v>
      </c>
      <c r="O37">
        <v>722.93</v>
      </c>
      <c r="P37">
        <v>6624.24</v>
      </c>
      <c r="Q37">
        <v>0</v>
      </c>
      <c r="R37">
        <v>231.47</v>
      </c>
      <c r="S37">
        <v>1010.69</v>
      </c>
      <c r="T37">
        <v>9150.48</v>
      </c>
      <c r="U37">
        <v>0</v>
      </c>
      <c r="V37">
        <v>0</v>
      </c>
      <c r="W37">
        <v>4376.96</v>
      </c>
      <c r="X37">
        <v>14769.59</v>
      </c>
      <c r="Y37">
        <v>0</v>
      </c>
      <c r="Z37">
        <v>19871.62</v>
      </c>
      <c r="AA37">
        <v>136.13</v>
      </c>
      <c r="AB37">
        <v>0</v>
      </c>
      <c r="AC37">
        <v>873.93</v>
      </c>
      <c r="AD37">
        <v>0</v>
      </c>
      <c r="AE37">
        <v>82679.3</v>
      </c>
      <c r="AF37">
        <v>20500</v>
      </c>
      <c r="AG37" t="s">
        <v>62</v>
      </c>
      <c r="AH37" t="s">
        <v>63</v>
      </c>
      <c r="AI37" t="s">
        <v>62</v>
      </c>
      <c r="AJ37" t="s">
        <v>63</v>
      </c>
      <c r="AK37">
        <v>7041</v>
      </c>
      <c r="AL37" t="s">
        <v>44</v>
      </c>
      <c r="AM37">
        <v>2</v>
      </c>
      <c r="AN37">
        <v>2</v>
      </c>
      <c r="AO37">
        <v>2025</v>
      </c>
      <c r="AP37">
        <v>3</v>
      </c>
    </row>
    <row r="38" spans="1:42" x14ac:dyDescent="0.25">
      <c r="A38">
        <v>0</v>
      </c>
      <c r="B38">
        <v>18361.169999999998</v>
      </c>
      <c r="C38">
        <v>5231.3100000000004</v>
      </c>
      <c r="D38">
        <v>766.62</v>
      </c>
      <c r="E38">
        <v>16928.77</v>
      </c>
      <c r="F38">
        <v>41287.870000000003</v>
      </c>
      <c r="G38">
        <v>4519.6499999999996</v>
      </c>
      <c r="H38">
        <v>2318.7600000000002</v>
      </c>
      <c r="I38">
        <v>2180.06</v>
      </c>
      <c r="J38">
        <v>9018.4699999999993</v>
      </c>
      <c r="K38">
        <v>50306.34</v>
      </c>
      <c r="L38">
        <v>0</v>
      </c>
      <c r="M38">
        <v>5540.63</v>
      </c>
      <c r="N38">
        <v>0</v>
      </c>
      <c r="O38">
        <v>883.52</v>
      </c>
      <c r="P38">
        <v>6424.15</v>
      </c>
      <c r="Q38">
        <v>0</v>
      </c>
      <c r="R38">
        <v>234.14</v>
      </c>
      <c r="S38">
        <v>827.7</v>
      </c>
      <c r="T38">
        <v>10400.530000000001</v>
      </c>
      <c r="U38">
        <v>0</v>
      </c>
      <c r="V38">
        <v>0</v>
      </c>
      <c r="W38">
        <v>3934.49</v>
      </c>
      <c r="X38">
        <v>15396.86</v>
      </c>
      <c r="Y38">
        <v>0</v>
      </c>
      <c r="Z38">
        <v>19387.900000000001</v>
      </c>
      <c r="AA38">
        <v>124.51</v>
      </c>
      <c r="AB38">
        <v>0</v>
      </c>
      <c r="AC38">
        <v>1112.48</v>
      </c>
      <c r="AD38">
        <v>0</v>
      </c>
      <c r="AE38">
        <v>92752.25</v>
      </c>
      <c r="AF38">
        <v>20500</v>
      </c>
      <c r="AG38" t="s">
        <v>62</v>
      </c>
      <c r="AH38" t="s">
        <v>63</v>
      </c>
      <c r="AI38" t="s">
        <v>62</v>
      </c>
      <c r="AJ38" t="s">
        <v>63</v>
      </c>
      <c r="AK38">
        <v>7041</v>
      </c>
      <c r="AL38" t="s">
        <v>44</v>
      </c>
      <c r="AM38">
        <v>2</v>
      </c>
      <c r="AN38">
        <v>2</v>
      </c>
      <c r="AO38">
        <v>2025</v>
      </c>
      <c r="AP38">
        <v>4</v>
      </c>
    </row>
    <row r="39" spans="1:42" x14ac:dyDescent="0.25">
      <c r="A39">
        <v>0</v>
      </c>
      <c r="B39">
        <v>34270.769999999997</v>
      </c>
      <c r="C39">
        <v>11543.71</v>
      </c>
      <c r="D39">
        <v>2753.82</v>
      </c>
      <c r="E39">
        <v>4159.79</v>
      </c>
      <c r="F39">
        <v>52728.09</v>
      </c>
      <c r="G39">
        <v>3342.2</v>
      </c>
      <c r="H39">
        <v>19042.8</v>
      </c>
      <c r="I39">
        <v>4784.01</v>
      </c>
      <c r="J39">
        <v>27169</v>
      </c>
      <c r="K39">
        <v>79897.09</v>
      </c>
      <c r="L39">
        <v>109779.31</v>
      </c>
      <c r="M39">
        <v>25252.44</v>
      </c>
      <c r="N39">
        <v>0</v>
      </c>
      <c r="O39">
        <v>2682.86</v>
      </c>
      <c r="P39">
        <v>137714.62</v>
      </c>
      <c r="Q39">
        <v>2.71</v>
      </c>
      <c r="R39">
        <v>4034</v>
      </c>
      <c r="S39">
        <v>1037.19</v>
      </c>
      <c r="T39">
        <v>7706.97</v>
      </c>
      <c r="U39">
        <v>0</v>
      </c>
      <c r="V39">
        <v>56.24</v>
      </c>
      <c r="W39">
        <v>3987.94</v>
      </c>
      <c r="X39">
        <v>16825.04</v>
      </c>
      <c r="Y39">
        <v>7719.15</v>
      </c>
      <c r="Z39">
        <v>12114.68</v>
      </c>
      <c r="AA39">
        <v>13919.61</v>
      </c>
      <c r="AB39">
        <v>141.69999999999999</v>
      </c>
      <c r="AC39">
        <v>8603.74</v>
      </c>
      <c r="AD39">
        <v>0</v>
      </c>
      <c r="AE39">
        <v>276935.62</v>
      </c>
      <c r="AF39">
        <v>19917</v>
      </c>
      <c r="AG39" t="s">
        <v>60</v>
      </c>
      <c r="AH39" t="s">
        <v>61</v>
      </c>
      <c r="AI39" t="s">
        <v>60</v>
      </c>
      <c r="AJ39" t="s">
        <v>61</v>
      </c>
      <c r="AK39">
        <v>16911</v>
      </c>
      <c r="AL39" t="s">
        <v>53</v>
      </c>
      <c r="AM39">
        <v>3</v>
      </c>
      <c r="AN39">
        <v>3</v>
      </c>
      <c r="AO39">
        <v>2025</v>
      </c>
      <c r="AP39">
        <v>1</v>
      </c>
    </row>
    <row r="40" spans="1:42" x14ac:dyDescent="0.25">
      <c r="A40">
        <v>0</v>
      </c>
      <c r="B40">
        <v>36602.67</v>
      </c>
      <c r="C40">
        <v>11714.45</v>
      </c>
      <c r="D40">
        <v>2087.63</v>
      </c>
      <c r="E40">
        <v>3221.42</v>
      </c>
      <c r="F40">
        <v>53626.17</v>
      </c>
      <c r="G40">
        <v>3527.82</v>
      </c>
      <c r="H40">
        <v>15868.05</v>
      </c>
      <c r="I40">
        <v>1587.99</v>
      </c>
      <c r="J40">
        <v>20983.87</v>
      </c>
      <c r="K40">
        <v>74610.03</v>
      </c>
      <c r="L40">
        <v>114894.03</v>
      </c>
      <c r="M40">
        <v>22654.91</v>
      </c>
      <c r="N40">
        <v>0</v>
      </c>
      <c r="O40">
        <v>1450.52</v>
      </c>
      <c r="P40">
        <v>138999.46</v>
      </c>
      <c r="Q40">
        <v>1.41</v>
      </c>
      <c r="R40">
        <v>4128.96</v>
      </c>
      <c r="S40">
        <v>925.48</v>
      </c>
      <c r="T40">
        <v>6767.18</v>
      </c>
      <c r="U40">
        <v>0</v>
      </c>
      <c r="V40">
        <v>61.43</v>
      </c>
      <c r="W40">
        <v>4953.2700000000004</v>
      </c>
      <c r="X40">
        <v>16837.73</v>
      </c>
      <c r="Y40">
        <v>7744.19</v>
      </c>
      <c r="Z40">
        <v>6900.75</v>
      </c>
      <c r="AA40">
        <v>12909</v>
      </c>
      <c r="AB40">
        <v>103.38</v>
      </c>
      <c r="AC40">
        <v>9154.75</v>
      </c>
      <c r="AD40">
        <v>0</v>
      </c>
      <c r="AE40">
        <v>267259.28000000003</v>
      </c>
      <c r="AF40">
        <v>19917</v>
      </c>
      <c r="AG40" t="s">
        <v>60</v>
      </c>
      <c r="AH40" t="s">
        <v>61</v>
      </c>
      <c r="AI40" t="s">
        <v>60</v>
      </c>
      <c r="AJ40" t="s">
        <v>61</v>
      </c>
      <c r="AK40">
        <v>16911</v>
      </c>
      <c r="AL40" t="s">
        <v>53</v>
      </c>
      <c r="AM40">
        <v>3</v>
      </c>
      <c r="AN40">
        <v>3</v>
      </c>
      <c r="AO40">
        <v>2025</v>
      </c>
      <c r="AP40">
        <v>4</v>
      </c>
    </row>
    <row r="41" spans="1:42" x14ac:dyDescent="0.25">
      <c r="A41">
        <v>0</v>
      </c>
      <c r="B41">
        <v>37295.879999999997</v>
      </c>
      <c r="C41">
        <v>11984.15</v>
      </c>
      <c r="D41">
        <v>2345.0500000000002</v>
      </c>
      <c r="E41">
        <v>3759.47</v>
      </c>
      <c r="F41">
        <v>55384.54</v>
      </c>
      <c r="G41">
        <v>3765.74</v>
      </c>
      <c r="H41">
        <v>18113.71</v>
      </c>
      <c r="I41">
        <v>2110.23</v>
      </c>
      <c r="J41">
        <v>23989.67</v>
      </c>
      <c r="K41">
        <v>79374.210000000006</v>
      </c>
      <c r="L41">
        <v>114375.34</v>
      </c>
      <c r="M41">
        <v>26112.32</v>
      </c>
      <c r="N41">
        <v>0</v>
      </c>
      <c r="O41">
        <v>641.1</v>
      </c>
      <c r="P41">
        <v>141128.75</v>
      </c>
      <c r="Q41">
        <v>4.91</v>
      </c>
      <c r="R41">
        <v>4602.5200000000004</v>
      </c>
      <c r="S41">
        <v>993.49</v>
      </c>
      <c r="T41">
        <v>8270.07</v>
      </c>
      <c r="U41">
        <v>0</v>
      </c>
      <c r="V41">
        <v>67.680000000000007</v>
      </c>
      <c r="W41">
        <v>4587.6099999999997</v>
      </c>
      <c r="X41">
        <v>18526.28</v>
      </c>
      <c r="Y41">
        <v>8428.0300000000007</v>
      </c>
      <c r="Z41">
        <v>11966.66</v>
      </c>
      <c r="AA41">
        <v>14038.04</v>
      </c>
      <c r="AB41">
        <v>109.14</v>
      </c>
      <c r="AC41">
        <v>10873.95</v>
      </c>
      <c r="AD41">
        <v>0</v>
      </c>
      <c r="AE41">
        <v>284445.05</v>
      </c>
      <c r="AF41">
        <v>19917</v>
      </c>
      <c r="AG41" t="s">
        <v>60</v>
      </c>
      <c r="AH41" t="s">
        <v>61</v>
      </c>
      <c r="AI41" t="s">
        <v>60</v>
      </c>
      <c r="AJ41" t="s">
        <v>61</v>
      </c>
      <c r="AK41">
        <v>16911</v>
      </c>
      <c r="AL41" t="s">
        <v>53</v>
      </c>
      <c r="AM41">
        <v>3</v>
      </c>
      <c r="AN41">
        <v>3</v>
      </c>
      <c r="AO41">
        <v>2025</v>
      </c>
      <c r="AP41">
        <v>3</v>
      </c>
    </row>
    <row r="42" spans="1:42" x14ac:dyDescent="0.25">
      <c r="A42">
        <v>0</v>
      </c>
      <c r="B42">
        <v>37909.4</v>
      </c>
      <c r="C42">
        <v>12594.31</v>
      </c>
      <c r="D42">
        <v>2515.1</v>
      </c>
      <c r="E42">
        <v>3848.09</v>
      </c>
      <c r="F42">
        <v>56866.91</v>
      </c>
      <c r="G42">
        <v>3635.88</v>
      </c>
      <c r="H42">
        <v>19282.740000000002</v>
      </c>
      <c r="I42">
        <v>3152.27</v>
      </c>
      <c r="J42">
        <v>26070.89</v>
      </c>
      <c r="K42">
        <v>82937.8</v>
      </c>
      <c r="L42">
        <v>113726.86</v>
      </c>
      <c r="M42">
        <v>26162.720000000001</v>
      </c>
      <c r="N42">
        <v>0</v>
      </c>
      <c r="O42">
        <v>1457.34</v>
      </c>
      <c r="P42">
        <v>141346.92000000001</v>
      </c>
      <c r="Q42">
        <v>1.65</v>
      </c>
      <c r="R42">
        <v>4628.71</v>
      </c>
      <c r="S42">
        <v>1078.45</v>
      </c>
      <c r="T42">
        <v>8227.1299999999992</v>
      </c>
      <c r="U42">
        <v>0</v>
      </c>
      <c r="V42">
        <v>61.18</v>
      </c>
      <c r="W42">
        <v>4758.2299999999996</v>
      </c>
      <c r="X42">
        <v>18755.349999999999</v>
      </c>
      <c r="Y42">
        <v>8101.06</v>
      </c>
      <c r="Z42">
        <v>13342.89</v>
      </c>
      <c r="AA42">
        <v>14970.47</v>
      </c>
      <c r="AB42">
        <v>217.24</v>
      </c>
      <c r="AC42">
        <v>10734.45</v>
      </c>
      <c r="AD42">
        <v>0</v>
      </c>
      <c r="AE42">
        <v>290406.18</v>
      </c>
      <c r="AF42">
        <v>19917</v>
      </c>
      <c r="AG42" t="s">
        <v>60</v>
      </c>
      <c r="AH42" t="s">
        <v>61</v>
      </c>
      <c r="AI42" t="s">
        <v>60</v>
      </c>
      <c r="AJ42" t="s">
        <v>61</v>
      </c>
      <c r="AK42">
        <v>16911</v>
      </c>
      <c r="AL42" t="s">
        <v>53</v>
      </c>
      <c r="AM42">
        <v>3</v>
      </c>
      <c r="AN42">
        <v>3</v>
      </c>
      <c r="AO42">
        <v>2025</v>
      </c>
      <c r="AP42">
        <v>2</v>
      </c>
    </row>
    <row r="43" spans="1:42" x14ac:dyDescent="0.25">
      <c r="A43">
        <v>0</v>
      </c>
      <c r="B43">
        <v>43956.67</v>
      </c>
      <c r="C43">
        <v>14806.29</v>
      </c>
      <c r="D43">
        <v>3532.13</v>
      </c>
      <c r="E43">
        <v>5335.47</v>
      </c>
      <c r="F43">
        <v>67630.570000000007</v>
      </c>
      <c r="G43">
        <v>4286.8100000000004</v>
      </c>
      <c r="H43">
        <v>24424.84</v>
      </c>
      <c r="I43">
        <v>6136.1</v>
      </c>
      <c r="J43">
        <v>34847.75</v>
      </c>
      <c r="K43">
        <v>102478.31</v>
      </c>
      <c r="L43">
        <v>156244.84</v>
      </c>
      <c r="M43">
        <v>33981.83</v>
      </c>
      <c r="N43">
        <v>0</v>
      </c>
      <c r="O43">
        <v>3441.12</v>
      </c>
      <c r="P43">
        <v>193667.79</v>
      </c>
      <c r="Q43">
        <v>3.47</v>
      </c>
      <c r="R43">
        <v>5174.12</v>
      </c>
      <c r="S43">
        <v>1395.68</v>
      </c>
      <c r="T43">
        <v>10442.69</v>
      </c>
      <c r="U43">
        <v>0</v>
      </c>
      <c r="V43">
        <v>72.14</v>
      </c>
      <c r="W43">
        <v>5115.05</v>
      </c>
      <c r="X43">
        <v>22203.15</v>
      </c>
      <c r="Y43">
        <v>9900.81</v>
      </c>
      <c r="Z43">
        <v>16582.71</v>
      </c>
      <c r="AA43">
        <v>19210.41</v>
      </c>
      <c r="AB43">
        <v>181.75</v>
      </c>
      <c r="AC43">
        <v>10893.68</v>
      </c>
      <c r="AD43">
        <v>0</v>
      </c>
      <c r="AE43">
        <v>375118.6</v>
      </c>
      <c r="AF43">
        <v>19917</v>
      </c>
      <c r="AG43" t="s">
        <v>60</v>
      </c>
      <c r="AH43" t="s">
        <v>61</v>
      </c>
      <c r="AI43" t="s">
        <v>60</v>
      </c>
      <c r="AJ43" t="s">
        <v>61</v>
      </c>
      <c r="AK43">
        <v>16913</v>
      </c>
      <c r="AL43" t="s">
        <v>64</v>
      </c>
      <c r="AM43">
        <v>3</v>
      </c>
      <c r="AN43">
        <v>3</v>
      </c>
      <c r="AO43">
        <v>2025</v>
      </c>
      <c r="AP43">
        <v>1</v>
      </c>
    </row>
    <row r="44" spans="1:42" x14ac:dyDescent="0.25">
      <c r="A44">
        <v>0</v>
      </c>
      <c r="B44">
        <v>47420.9</v>
      </c>
      <c r="C44">
        <v>15754.23</v>
      </c>
      <c r="D44">
        <v>3146.15</v>
      </c>
      <c r="E44">
        <v>4813.58</v>
      </c>
      <c r="F44">
        <v>71134.86</v>
      </c>
      <c r="G44">
        <v>4548.13</v>
      </c>
      <c r="H44">
        <v>24120.79</v>
      </c>
      <c r="I44">
        <v>3943.18</v>
      </c>
      <c r="J44">
        <v>32612.1</v>
      </c>
      <c r="K44">
        <v>103746.97</v>
      </c>
      <c r="L44">
        <v>155455.37</v>
      </c>
      <c r="M44">
        <v>33160.93</v>
      </c>
      <c r="N44">
        <v>0</v>
      </c>
      <c r="O44">
        <v>1822.99</v>
      </c>
      <c r="P44">
        <v>190439.29</v>
      </c>
      <c r="Q44">
        <v>2.06</v>
      </c>
      <c r="R44">
        <v>5790.06</v>
      </c>
      <c r="S44">
        <v>1284.1199999999999</v>
      </c>
      <c r="T44">
        <v>10969.53</v>
      </c>
      <c r="U44">
        <v>0</v>
      </c>
      <c r="V44">
        <v>76.53</v>
      </c>
      <c r="W44">
        <v>5952.08</v>
      </c>
      <c r="X44">
        <v>24074.37</v>
      </c>
      <c r="Y44">
        <v>10133.620000000001</v>
      </c>
      <c r="Z44">
        <v>17249.97</v>
      </c>
      <c r="AA44">
        <v>19772.97</v>
      </c>
      <c r="AB44">
        <v>271.75</v>
      </c>
      <c r="AC44">
        <v>13177.28</v>
      </c>
      <c r="AD44">
        <v>0</v>
      </c>
      <c r="AE44">
        <v>378866.22</v>
      </c>
      <c r="AF44">
        <v>19917</v>
      </c>
      <c r="AG44" t="s">
        <v>60</v>
      </c>
      <c r="AH44" t="s">
        <v>61</v>
      </c>
      <c r="AI44" t="s">
        <v>60</v>
      </c>
      <c r="AJ44" t="s">
        <v>61</v>
      </c>
      <c r="AK44">
        <v>16913</v>
      </c>
      <c r="AL44" t="s">
        <v>64</v>
      </c>
      <c r="AM44">
        <v>3</v>
      </c>
      <c r="AN44">
        <v>3</v>
      </c>
      <c r="AO44">
        <v>2025</v>
      </c>
      <c r="AP44">
        <v>2</v>
      </c>
    </row>
    <row r="45" spans="1:42" x14ac:dyDescent="0.25">
      <c r="A45">
        <v>0</v>
      </c>
      <c r="B45">
        <v>52142.66</v>
      </c>
      <c r="C45">
        <v>16754.8</v>
      </c>
      <c r="D45">
        <v>3278.56</v>
      </c>
      <c r="E45">
        <v>5256.04</v>
      </c>
      <c r="F45">
        <v>77432.070000000007</v>
      </c>
      <c r="G45">
        <v>5264.8</v>
      </c>
      <c r="H45">
        <v>25324.43</v>
      </c>
      <c r="I45">
        <v>2950.27</v>
      </c>
      <c r="J45">
        <v>33539.49</v>
      </c>
      <c r="K45">
        <v>110971.56</v>
      </c>
      <c r="L45">
        <v>179052.17</v>
      </c>
      <c r="M45">
        <v>38192.019999999997</v>
      </c>
      <c r="N45">
        <v>0</v>
      </c>
      <c r="O45">
        <v>896.31</v>
      </c>
      <c r="P45">
        <v>218140.5</v>
      </c>
      <c r="Q45">
        <v>6.87</v>
      </c>
      <c r="R45">
        <v>6434.69</v>
      </c>
      <c r="S45">
        <v>1375.77</v>
      </c>
      <c r="T45">
        <v>12009.8</v>
      </c>
      <c r="U45">
        <v>0</v>
      </c>
      <c r="V45">
        <v>94.62</v>
      </c>
      <c r="W45">
        <v>6413.85</v>
      </c>
      <c r="X45">
        <v>26335.599999999999</v>
      </c>
      <c r="Y45">
        <v>11783.06</v>
      </c>
      <c r="Z45">
        <v>17998.11</v>
      </c>
      <c r="AA45">
        <v>21073.48</v>
      </c>
      <c r="AB45">
        <v>152.58000000000001</v>
      </c>
      <c r="AC45">
        <v>14890.09</v>
      </c>
      <c r="AD45">
        <v>0</v>
      </c>
      <c r="AE45">
        <v>421344.99</v>
      </c>
      <c r="AF45">
        <v>19917</v>
      </c>
      <c r="AG45" t="s">
        <v>60</v>
      </c>
      <c r="AH45" t="s">
        <v>61</v>
      </c>
      <c r="AI45" t="s">
        <v>60</v>
      </c>
      <c r="AJ45" t="s">
        <v>61</v>
      </c>
      <c r="AK45">
        <v>16913</v>
      </c>
      <c r="AL45" t="s">
        <v>64</v>
      </c>
      <c r="AM45">
        <v>3</v>
      </c>
      <c r="AN45">
        <v>3</v>
      </c>
      <c r="AO45">
        <v>2025</v>
      </c>
      <c r="AP45">
        <v>3</v>
      </c>
    </row>
    <row r="46" spans="1:42" x14ac:dyDescent="0.25">
      <c r="A46">
        <v>0</v>
      </c>
      <c r="B46">
        <v>54138.35</v>
      </c>
      <c r="C46">
        <v>17326.63</v>
      </c>
      <c r="D46">
        <v>3087.77</v>
      </c>
      <c r="E46">
        <v>4764.74</v>
      </c>
      <c r="F46">
        <v>79317.5</v>
      </c>
      <c r="G46">
        <v>5217.9399999999996</v>
      </c>
      <c r="H46">
        <v>23470.15</v>
      </c>
      <c r="I46">
        <v>2348.77</v>
      </c>
      <c r="J46">
        <v>31036.86</v>
      </c>
      <c r="K46">
        <v>110354.36</v>
      </c>
      <c r="L46">
        <v>189385.57</v>
      </c>
      <c r="M46">
        <v>35456.239999999998</v>
      </c>
      <c r="N46">
        <v>0</v>
      </c>
      <c r="O46">
        <v>2145.4299999999998</v>
      </c>
      <c r="P46">
        <v>226987.24</v>
      </c>
      <c r="Q46">
        <v>2.09</v>
      </c>
      <c r="R46">
        <v>6107.07</v>
      </c>
      <c r="S46">
        <v>1299.1300000000001</v>
      </c>
      <c r="T46">
        <v>10657.08</v>
      </c>
      <c r="U46">
        <v>0</v>
      </c>
      <c r="V46">
        <v>90.86</v>
      </c>
      <c r="W46">
        <v>7326.29</v>
      </c>
      <c r="X46">
        <v>25482.53</v>
      </c>
      <c r="Y46">
        <v>11454.29</v>
      </c>
      <c r="Z46">
        <v>7855.77</v>
      </c>
      <c r="AA46">
        <v>20524.32</v>
      </c>
      <c r="AB46">
        <v>152.91</v>
      </c>
      <c r="AC46">
        <v>13277.56</v>
      </c>
      <c r="AD46">
        <v>0</v>
      </c>
      <c r="AE46">
        <v>416088.97</v>
      </c>
      <c r="AF46">
        <v>19917</v>
      </c>
      <c r="AG46" t="s">
        <v>60</v>
      </c>
      <c r="AH46" t="s">
        <v>61</v>
      </c>
      <c r="AI46" t="s">
        <v>60</v>
      </c>
      <c r="AJ46" t="s">
        <v>61</v>
      </c>
      <c r="AK46">
        <v>16913</v>
      </c>
      <c r="AL46" t="s">
        <v>64</v>
      </c>
      <c r="AM46">
        <v>3</v>
      </c>
      <c r="AN46">
        <v>3</v>
      </c>
      <c r="AO46">
        <v>2025</v>
      </c>
      <c r="AP46">
        <v>4</v>
      </c>
    </row>
    <row r="47" spans="1:42" x14ac:dyDescent="0.25">
      <c r="A47">
        <v>0</v>
      </c>
      <c r="B47">
        <v>181845.32</v>
      </c>
      <c r="C47">
        <v>61252.480000000003</v>
      </c>
      <c r="D47">
        <v>14612.14</v>
      </c>
      <c r="E47">
        <v>22072.42</v>
      </c>
      <c r="F47">
        <v>279782.36</v>
      </c>
      <c r="G47">
        <v>17734.18</v>
      </c>
      <c r="H47">
        <v>101043.64</v>
      </c>
      <c r="I47">
        <v>25384.58</v>
      </c>
      <c r="J47">
        <v>144162.4</v>
      </c>
      <c r="K47">
        <v>423944.76</v>
      </c>
      <c r="L47">
        <v>406303.04</v>
      </c>
      <c r="M47">
        <v>168777.23</v>
      </c>
      <c r="N47">
        <v>0</v>
      </c>
      <c r="O47">
        <v>14235.63</v>
      </c>
      <c r="P47">
        <v>589315.9</v>
      </c>
      <c r="Q47">
        <v>14.36</v>
      </c>
      <c r="R47">
        <v>21404.94</v>
      </c>
      <c r="S47">
        <v>3777.33</v>
      </c>
      <c r="T47">
        <v>67873.45</v>
      </c>
      <c r="U47">
        <v>0</v>
      </c>
      <c r="V47">
        <v>298.42</v>
      </c>
      <c r="W47">
        <v>21160.55</v>
      </c>
      <c r="X47">
        <v>114529.05</v>
      </c>
      <c r="Y47">
        <v>40958.870000000003</v>
      </c>
      <c r="Z47">
        <v>27794.03</v>
      </c>
      <c r="AA47">
        <v>84162.83</v>
      </c>
      <c r="AB47">
        <v>751.88</v>
      </c>
      <c r="AC47">
        <v>50878.53</v>
      </c>
      <c r="AD47">
        <v>0</v>
      </c>
      <c r="AE47">
        <v>1332335.8700000001</v>
      </c>
      <c r="AF47">
        <v>19917</v>
      </c>
      <c r="AG47" t="s">
        <v>60</v>
      </c>
      <c r="AH47" t="s">
        <v>61</v>
      </c>
      <c r="AI47" t="s">
        <v>60</v>
      </c>
      <c r="AJ47" t="s">
        <v>61</v>
      </c>
      <c r="AK47">
        <v>6910</v>
      </c>
      <c r="AL47" t="s">
        <v>44</v>
      </c>
      <c r="AM47">
        <v>3</v>
      </c>
      <c r="AN47">
        <v>3</v>
      </c>
      <c r="AO47">
        <v>2025</v>
      </c>
      <c r="AP47">
        <v>1</v>
      </c>
    </row>
    <row r="48" spans="1:42" x14ac:dyDescent="0.25">
      <c r="A48">
        <v>0</v>
      </c>
      <c r="B48">
        <v>188744.74</v>
      </c>
      <c r="C48">
        <v>62705.01</v>
      </c>
      <c r="D48">
        <v>12522.3</v>
      </c>
      <c r="E48">
        <v>19159.03</v>
      </c>
      <c r="F48">
        <v>283131.08</v>
      </c>
      <c r="G48">
        <v>18102.46</v>
      </c>
      <c r="H48">
        <v>96005.61</v>
      </c>
      <c r="I48">
        <v>15694.66</v>
      </c>
      <c r="J48">
        <v>129802.73</v>
      </c>
      <c r="K48">
        <v>412933.81</v>
      </c>
      <c r="L48">
        <v>374834.17</v>
      </c>
      <c r="M48">
        <v>169793.03</v>
      </c>
      <c r="N48">
        <v>0</v>
      </c>
      <c r="O48">
        <v>7255.85</v>
      </c>
      <c r="P48">
        <v>551883.04</v>
      </c>
      <c r="Q48">
        <v>8.19</v>
      </c>
      <c r="R48">
        <v>23045.61</v>
      </c>
      <c r="S48">
        <v>3748.42</v>
      </c>
      <c r="T48">
        <v>69202.13</v>
      </c>
      <c r="U48">
        <v>0</v>
      </c>
      <c r="V48">
        <v>304.60000000000002</v>
      </c>
      <c r="W48">
        <v>23690.46</v>
      </c>
      <c r="X48">
        <v>119999.41</v>
      </c>
      <c r="Y48">
        <v>40333.839999999997</v>
      </c>
      <c r="Z48">
        <v>27456.05</v>
      </c>
      <c r="AA48">
        <v>78934.259999999995</v>
      </c>
      <c r="AB48">
        <v>1081.6199999999999</v>
      </c>
      <c r="AC48">
        <v>59607.82</v>
      </c>
      <c r="AD48">
        <v>0</v>
      </c>
      <c r="AE48">
        <v>1292229.8500000001</v>
      </c>
      <c r="AF48">
        <v>19917</v>
      </c>
      <c r="AG48" t="s">
        <v>60</v>
      </c>
      <c r="AH48" t="s">
        <v>61</v>
      </c>
      <c r="AI48" t="s">
        <v>60</v>
      </c>
      <c r="AJ48" t="s">
        <v>61</v>
      </c>
      <c r="AK48">
        <v>6910</v>
      </c>
      <c r="AL48" t="s">
        <v>44</v>
      </c>
      <c r="AM48">
        <v>3</v>
      </c>
      <c r="AN48">
        <v>3</v>
      </c>
      <c r="AO48">
        <v>2025</v>
      </c>
      <c r="AP48">
        <v>2</v>
      </c>
    </row>
    <row r="49" spans="1:42" x14ac:dyDescent="0.25">
      <c r="A49">
        <v>0</v>
      </c>
      <c r="B49">
        <v>193129.17</v>
      </c>
      <c r="C49">
        <v>62057.46</v>
      </c>
      <c r="D49">
        <v>12143.35</v>
      </c>
      <c r="E49">
        <v>19467.64</v>
      </c>
      <c r="F49">
        <v>286797.62</v>
      </c>
      <c r="G49">
        <v>19500.09</v>
      </c>
      <c r="H49">
        <v>93798.15</v>
      </c>
      <c r="I49">
        <v>10927.37</v>
      </c>
      <c r="J49">
        <v>124225.62</v>
      </c>
      <c r="K49">
        <v>411023.23</v>
      </c>
      <c r="L49">
        <v>397582.28</v>
      </c>
      <c r="M49">
        <v>176330.31</v>
      </c>
      <c r="N49">
        <v>0</v>
      </c>
      <c r="O49">
        <v>3319.79</v>
      </c>
      <c r="P49">
        <v>577232.38</v>
      </c>
      <c r="Q49">
        <v>25.44</v>
      </c>
      <c r="R49">
        <v>23833.200000000001</v>
      </c>
      <c r="S49">
        <v>3838.21</v>
      </c>
      <c r="T49">
        <v>71411.45</v>
      </c>
      <c r="U49">
        <v>0</v>
      </c>
      <c r="V49">
        <v>350.46</v>
      </c>
      <c r="W49">
        <v>23756</v>
      </c>
      <c r="X49">
        <v>123214.76</v>
      </c>
      <c r="Y49">
        <v>43642.83</v>
      </c>
      <c r="Z49">
        <v>27152.79</v>
      </c>
      <c r="AA49">
        <v>78315.899999999994</v>
      </c>
      <c r="AB49">
        <v>565.14</v>
      </c>
      <c r="AC49">
        <v>61945.41</v>
      </c>
      <c r="AD49">
        <v>0</v>
      </c>
      <c r="AE49">
        <v>1323092.44</v>
      </c>
      <c r="AF49">
        <v>19917</v>
      </c>
      <c r="AG49" t="s">
        <v>60</v>
      </c>
      <c r="AH49" t="s">
        <v>61</v>
      </c>
      <c r="AI49" t="s">
        <v>60</v>
      </c>
      <c r="AJ49" t="s">
        <v>61</v>
      </c>
      <c r="AK49">
        <v>6910</v>
      </c>
      <c r="AL49" t="s">
        <v>44</v>
      </c>
      <c r="AM49">
        <v>3</v>
      </c>
      <c r="AN49">
        <v>3</v>
      </c>
      <c r="AO49">
        <v>2025</v>
      </c>
      <c r="AP49">
        <v>3</v>
      </c>
    </row>
    <row r="50" spans="1:42" x14ac:dyDescent="0.25">
      <c r="A50">
        <v>0</v>
      </c>
      <c r="B50">
        <v>208491.02</v>
      </c>
      <c r="C50">
        <v>66726.210000000006</v>
      </c>
      <c r="D50">
        <v>11891.26</v>
      </c>
      <c r="E50">
        <v>18349.39</v>
      </c>
      <c r="F50">
        <v>305457.88</v>
      </c>
      <c r="G50">
        <v>20094.689999999999</v>
      </c>
      <c r="H50">
        <v>90385.39</v>
      </c>
      <c r="I50">
        <v>9045.2900000000009</v>
      </c>
      <c r="J50">
        <v>119525.37</v>
      </c>
      <c r="K50">
        <v>424983.25</v>
      </c>
      <c r="L50">
        <v>433434.49</v>
      </c>
      <c r="M50">
        <v>177749.28</v>
      </c>
      <c r="N50">
        <v>0</v>
      </c>
      <c r="O50">
        <v>8262.23</v>
      </c>
      <c r="P50">
        <v>619446</v>
      </c>
      <c r="Q50">
        <v>8.0500000000000007</v>
      </c>
      <c r="R50">
        <v>23518.79</v>
      </c>
      <c r="S50">
        <v>3825.52</v>
      </c>
      <c r="T50">
        <v>77690.58</v>
      </c>
      <c r="U50">
        <v>0</v>
      </c>
      <c r="V50">
        <v>349.93</v>
      </c>
      <c r="W50">
        <v>28214.11</v>
      </c>
      <c r="X50">
        <v>133606.98000000001</v>
      </c>
      <c r="Y50">
        <v>44111.37</v>
      </c>
      <c r="Z50">
        <v>43870.31</v>
      </c>
      <c r="AA50">
        <v>86456.72</v>
      </c>
      <c r="AB50">
        <v>588.85</v>
      </c>
      <c r="AC50">
        <v>57169.51</v>
      </c>
      <c r="AD50">
        <v>0</v>
      </c>
      <c r="AE50">
        <v>1410232.98</v>
      </c>
      <c r="AF50">
        <v>19917</v>
      </c>
      <c r="AG50" t="s">
        <v>60</v>
      </c>
      <c r="AH50" t="s">
        <v>61</v>
      </c>
      <c r="AI50" t="s">
        <v>60</v>
      </c>
      <c r="AJ50" t="s">
        <v>61</v>
      </c>
      <c r="AK50">
        <v>6910</v>
      </c>
      <c r="AL50" t="s">
        <v>44</v>
      </c>
      <c r="AM50">
        <v>3</v>
      </c>
      <c r="AN50">
        <v>3</v>
      </c>
      <c r="AO50">
        <v>2025</v>
      </c>
      <c r="AP50">
        <v>4</v>
      </c>
    </row>
    <row r="51" spans="1:42" x14ac:dyDescent="0.25">
      <c r="A51">
        <v>0.36</v>
      </c>
      <c r="B51">
        <v>565</v>
      </c>
      <c r="C51">
        <v>152.74</v>
      </c>
      <c r="D51">
        <v>30</v>
      </c>
      <c r="E51">
        <v>567.34</v>
      </c>
      <c r="F51">
        <v>1315.44</v>
      </c>
      <c r="G51">
        <v>198.42</v>
      </c>
      <c r="H51">
        <v>134.41999999999999</v>
      </c>
      <c r="I51">
        <v>108.45</v>
      </c>
      <c r="J51">
        <v>441.29</v>
      </c>
      <c r="K51">
        <v>1756.73</v>
      </c>
      <c r="L51">
        <v>0</v>
      </c>
      <c r="M51">
        <v>69.31</v>
      </c>
      <c r="N51">
        <v>0</v>
      </c>
      <c r="O51">
        <v>87.39</v>
      </c>
      <c r="P51">
        <v>156.69999999999999</v>
      </c>
      <c r="Q51">
        <v>0</v>
      </c>
      <c r="R51">
        <v>0.86</v>
      </c>
      <c r="S51">
        <v>15.09</v>
      </c>
      <c r="T51">
        <v>755.44</v>
      </c>
      <c r="U51">
        <v>0</v>
      </c>
      <c r="V51">
        <v>0</v>
      </c>
      <c r="W51">
        <v>82.29</v>
      </c>
      <c r="X51">
        <v>853.67</v>
      </c>
      <c r="Y51">
        <v>0</v>
      </c>
      <c r="Z51">
        <v>294.86</v>
      </c>
      <c r="AA51">
        <v>51.06</v>
      </c>
      <c r="AB51">
        <v>0</v>
      </c>
      <c r="AC51">
        <v>24.26</v>
      </c>
      <c r="AD51">
        <v>0</v>
      </c>
      <c r="AE51">
        <v>3137.28</v>
      </c>
      <c r="AF51">
        <v>20397</v>
      </c>
      <c r="AG51" t="s">
        <v>65</v>
      </c>
      <c r="AH51" t="s">
        <v>66</v>
      </c>
      <c r="AI51" t="s">
        <v>65</v>
      </c>
      <c r="AJ51" t="s">
        <v>66</v>
      </c>
      <c r="AK51">
        <v>11030</v>
      </c>
      <c r="AL51" t="s">
        <v>50</v>
      </c>
      <c r="AM51">
        <v>2</v>
      </c>
      <c r="AN51">
        <v>2</v>
      </c>
      <c r="AO51">
        <v>2025</v>
      </c>
      <c r="AP51">
        <v>3</v>
      </c>
    </row>
    <row r="52" spans="1:42" x14ac:dyDescent="0.25">
      <c r="A52">
        <v>0.52</v>
      </c>
      <c r="B52">
        <v>759.79</v>
      </c>
      <c r="C52">
        <v>134.32</v>
      </c>
      <c r="D52">
        <v>25.61</v>
      </c>
      <c r="E52">
        <v>181.5</v>
      </c>
      <c r="F52">
        <v>1101.74</v>
      </c>
      <c r="G52">
        <v>177.37</v>
      </c>
      <c r="H52">
        <v>103.85</v>
      </c>
      <c r="I52">
        <v>83.78</v>
      </c>
      <c r="J52">
        <v>364.99</v>
      </c>
      <c r="K52">
        <v>1466.73</v>
      </c>
      <c r="L52">
        <v>0</v>
      </c>
      <c r="M52">
        <v>72.91</v>
      </c>
      <c r="N52">
        <v>0</v>
      </c>
      <c r="O52">
        <v>32.54</v>
      </c>
      <c r="P52">
        <v>105.44</v>
      </c>
      <c r="Q52">
        <v>0</v>
      </c>
      <c r="R52">
        <v>1.19</v>
      </c>
      <c r="S52">
        <v>9</v>
      </c>
      <c r="T52">
        <v>698.25</v>
      </c>
      <c r="U52">
        <v>0</v>
      </c>
      <c r="V52">
        <v>0</v>
      </c>
      <c r="W52">
        <v>74.790000000000006</v>
      </c>
      <c r="X52">
        <v>783.22</v>
      </c>
      <c r="Y52">
        <v>0</v>
      </c>
      <c r="Z52">
        <v>302.77999999999997</v>
      </c>
      <c r="AA52">
        <v>60.12</v>
      </c>
      <c r="AB52">
        <v>0</v>
      </c>
      <c r="AC52">
        <v>15.78</v>
      </c>
      <c r="AD52">
        <v>0</v>
      </c>
      <c r="AE52">
        <v>2734.08</v>
      </c>
      <c r="AF52">
        <v>20397</v>
      </c>
      <c r="AG52" t="s">
        <v>65</v>
      </c>
      <c r="AH52" t="s">
        <v>66</v>
      </c>
      <c r="AI52" t="s">
        <v>65</v>
      </c>
      <c r="AJ52" t="s">
        <v>66</v>
      </c>
      <c r="AK52">
        <v>11030</v>
      </c>
      <c r="AL52" t="s">
        <v>50</v>
      </c>
      <c r="AM52">
        <v>2</v>
      </c>
      <c r="AN52">
        <v>2</v>
      </c>
      <c r="AO52">
        <v>2025</v>
      </c>
      <c r="AP52">
        <v>2</v>
      </c>
    </row>
    <row r="53" spans="1:42" x14ac:dyDescent="0.25">
      <c r="A53">
        <v>0.62</v>
      </c>
      <c r="B53">
        <v>263.11</v>
      </c>
      <c r="C53">
        <v>44.62</v>
      </c>
      <c r="D53">
        <v>7.95</v>
      </c>
      <c r="E53">
        <v>55.57</v>
      </c>
      <c r="F53">
        <v>371.87</v>
      </c>
      <c r="G53">
        <v>53.11</v>
      </c>
      <c r="H53">
        <v>39.590000000000003</v>
      </c>
      <c r="I53">
        <v>21.84</v>
      </c>
      <c r="J53">
        <v>114.54</v>
      </c>
      <c r="K53">
        <v>486.41</v>
      </c>
      <c r="L53">
        <v>0</v>
      </c>
      <c r="M53">
        <v>26.34</v>
      </c>
      <c r="N53">
        <v>0</v>
      </c>
      <c r="O53">
        <v>11.45</v>
      </c>
      <c r="P53">
        <v>37.79</v>
      </c>
      <c r="Q53">
        <v>0</v>
      </c>
      <c r="R53">
        <v>0.2</v>
      </c>
      <c r="S53">
        <v>2.61</v>
      </c>
      <c r="T53">
        <v>168.18</v>
      </c>
      <c r="U53">
        <v>0</v>
      </c>
      <c r="V53">
        <v>0</v>
      </c>
      <c r="W53">
        <v>19.32</v>
      </c>
      <c r="X53">
        <v>190.32</v>
      </c>
      <c r="Y53">
        <v>0</v>
      </c>
      <c r="Z53">
        <v>93.78</v>
      </c>
      <c r="AA53">
        <v>18.88</v>
      </c>
      <c r="AB53">
        <v>0</v>
      </c>
      <c r="AC53">
        <v>6.37</v>
      </c>
      <c r="AD53">
        <v>0</v>
      </c>
      <c r="AE53">
        <v>833.55</v>
      </c>
      <c r="AF53">
        <v>20397</v>
      </c>
      <c r="AG53" t="s">
        <v>65</v>
      </c>
      <c r="AH53" t="s">
        <v>66</v>
      </c>
      <c r="AI53" t="s">
        <v>65</v>
      </c>
      <c r="AJ53" t="s">
        <v>66</v>
      </c>
      <c r="AK53">
        <v>11030</v>
      </c>
      <c r="AL53" t="s">
        <v>50</v>
      </c>
      <c r="AM53">
        <v>2</v>
      </c>
      <c r="AN53">
        <v>2</v>
      </c>
      <c r="AO53">
        <v>2025</v>
      </c>
      <c r="AP53">
        <v>4</v>
      </c>
    </row>
    <row r="54" spans="1:42" x14ac:dyDescent="0.25">
      <c r="A54">
        <v>0.94</v>
      </c>
      <c r="B54">
        <v>15.8</v>
      </c>
      <c r="C54">
        <v>2.84</v>
      </c>
      <c r="D54">
        <v>0.55000000000000004</v>
      </c>
      <c r="E54">
        <v>7.0000000000000007E-2</v>
      </c>
      <c r="F54">
        <v>20.190000000000001</v>
      </c>
      <c r="G54">
        <v>3.65</v>
      </c>
      <c r="H54">
        <v>7.25</v>
      </c>
      <c r="I54">
        <v>1.51</v>
      </c>
      <c r="J54">
        <v>12.42</v>
      </c>
      <c r="K54">
        <v>32.61</v>
      </c>
      <c r="L54">
        <v>0.05</v>
      </c>
      <c r="M54">
        <v>3.18</v>
      </c>
      <c r="N54">
        <v>0</v>
      </c>
      <c r="O54">
        <v>0.04</v>
      </c>
      <c r="P54">
        <v>3.26</v>
      </c>
      <c r="Q54">
        <v>0.22</v>
      </c>
      <c r="R54">
        <v>0.05</v>
      </c>
      <c r="S54">
        <v>0.43</v>
      </c>
      <c r="T54">
        <v>8.0399999999999991</v>
      </c>
      <c r="U54">
        <v>0</v>
      </c>
      <c r="V54">
        <v>0</v>
      </c>
      <c r="W54">
        <v>3.03</v>
      </c>
      <c r="X54">
        <v>11.77</v>
      </c>
      <c r="Y54">
        <v>0</v>
      </c>
      <c r="Z54">
        <v>0.33</v>
      </c>
      <c r="AA54">
        <v>4.33</v>
      </c>
      <c r="AB54">
        <v>0.05</v>
      </c>
      <c r="AC54">
        <v>1.36</v>
      </c>
      <c r="AD54">
        <v>0</v>
      </c>
      <c r="AE54">
        <v>53.71</v>
      </c>
      <c r="AF54">
        <v>20452</v>
      </c>
      <c r="AG54" t="s">
        <v>54</v>
      </c>
      <c r="AH54" t="s">
        <v>55</v>
      </c>
      <c r="AI54" t="s">
        <v>54</v>
      </c>
      <c r="AJ54" t="s">
        <v>55</v>
      </c>
      <c r="AK54">
        <v>11029</v>
      </c>
      <c r="AL54" t="s">
        <v>50</v>
      </c>
      <c r="AM54">
        <v>3</v>
      </c>
      <c r="AN54">
        <v>3</v>
      </c>
      <c r="AO54">
        <v>2025</v>
      </c>
      <c r="AP54">
        <v>3</v>
      </c>
    </row>
    <row r="55" spans="1:42" x14ac:dyDescent="0.25">
      <c r="A55">
        <v>0.94</v>
      </c>
      <c r="B55">
        <v>15.97</v>
      </c>
      <c r="C55">
        <v>2.92</v>
      </c>
      <c r="D55">
        <v>0.54</v>
      </c>
      <c r="E55">
        <v>0.06</v>
      </c>
      <c r="F55">
        <v>20.43</v>
      </c>
      <c r="G55">
        <v>3.54</v>
      </c>
      <c r="H55">
        <v>5.54</v>
      </c>
      <c r="I55">
        <v>1.29</v>
      </c>
      <c r="J55">
        <v>10.37</v>
      </c>
      <c r="K55">
        <v>30.8</v>
      </c>
      <c r="L55">
        <v>7.0000000000000007E-2</v>
      </c>
      <c r="M55">
        <v>3.04</v>
      </c>
      <c r="N55">
        <v>0</v>
      </c>
      <c r="O55">
        <v>0.05</v>
      </c>
      <c r="P55">
        <v>3.15</v>
      </c>
      <c r="Q55">
        <v>0.24</v>
      </c>
      <c r="R55">
        <v>0.05</v>
      </c>
      <c r="S55">
        <v>0.81</v>
      </c>
      <c r="T55">
        <v>7.75</v>
      </c>
      <c r="U55">
        <v>0</v>
      </c>
      <c r="V55">
        <v>0</v>
      </c>
      <c r="W55">
        <v>3.4</v>
      </c>
      <c r="X55">
        <v>12.24</v>
      </c>
      <c r="Y55">
        <v>0</v>
      </c>
      <c r="Z55">
        <v>0.34</v>
      </c>
      <c r="AA55">
        <v>4.37</v>
      </c>
      <c r="AB55">
        <v>0.04</v>
      </c>
      <c r="AC55">
        <v>1.37</v>
      </c>
      <c r="AD55">
        <v>0</v>
      </c>
      <c r="AE55">
        <v>52.3</v>
      </c>
      <c r="AF55">
        <v>20452</v>
      </c>
      <c r="AG55" t="s">
        <v>54</v>
      </c>
      <c r="AH55" t="s">
        <v>55</v>
      </c>
      <c r="AI55" t="s">
        <v>54</v>
      </c>
      <c r="AJ55" t="s">
        <v>55</v>
      </c>
      <c r="AK55">
        <v>11029</v>
      </c>
      <c r="AL55" t="s">
        <v>50</v>
      </c>
      <c r="AM55">
        <v>3</v>
      </c>
      <c r="AN55">
        <v>3</v>
      </c>
      <c r="AO55">
        <v>2025</v>
      </c>
      <c r="AP55">
        <v>4</v>
      </c>
    </row>
    <row r="56" spans="1:42" x14ac:dyDescent="0.25">
      <c r="A56">
        <v>1.7</v>
      </c>
      <c r="B56">
        <v>29.59</v>
      </c>
      <c r="C56">
        <v>5.17</v>
      </c>
      <c r="D56">
        <v>0.97</v>
      </c>
      <c r="E56">
        <v>0.12</v>
      </c>
      <c r="F56">
        <v>37.549999999999997</v>
      </c>
      <c r="G56">
        <v>6.81</v>
      </c>
      <c r="H56">
        <v>7.89</v>
      </c>
      <c r="I56">
        <v>2.9</v>
      </c>
      <c r="J56">
        <v>17.600000000000001</v>
      </c>
      <c r="K56">
        <v>55.15</v>
      </c>
      <c r="L56">
        <v>7.0000000000000007E-2</v>
      </c>
      <c r="M56">
        <v>5.82</v>
      </c>
      <c r="N56">
        <v>0</v>
      </c>
      <c r="O56">
        <v>0.1</v>
      </c>
      <c r="P56">
        <v>5.98</v>
      </c>
      <c r="Q56">
        <v>0.41</v>
      </c>
      <c r="R56">
        <v>0.11</v>
      </c>
      <c r="S56">
        <v>0.83</v>
      </c>
      <c r="T56">
        <v>14.22</v>
      </c>
      <c r="U56">
        <v>0</v>
      </c>
      <c r="V56">
        <v>0</v>
      </c>
      <c r="W56">
        <v>4.5999999999999996</v>
      </c>
      <c r="X56">
        <v>20.16</v>
      </c>
      <c r="Y56">
        <v>0</v>
      </c>
      <c r="Z56">
        <v>0.62</v>
      </c>
      <c r="AA56">
        <v>7.93</v>
      </c>
      <c r="AB56">
        <v>0.08</v>
      </c>
      <c r="AC56">
        <v>2.12</v>
      </c>
      <c r="AD56">
        <v>0</v>
      </c>
      <c r="AE56">
        <v>92.04</v>
      </c>
      <c r="AF56">
        <v>20452</v>
      </c>
      <c r="AG56" t="s">
        <v>54</v>
      </c>
      <c r="AH56" t="s">
        <v>55</v>
      </c>
      <c r="AI56" t="s">
        <v>54</v>
      </c>
      <c r="AJ56" t="s">
        <v>55</v>
      </c>
      <c r="AK56">
        <v>11029</v>
      </c>
      <c r="AL56" t="s">
        <v>50</v>
      </c>
      <c r="AM56">
        <v>3</v>
      </c>
      <c r="AN56">
        <v>3</v>
      </c>
      <c r="AO56">
        <v>2025</v>
      </c>
      <c r="AP56">
        <v>2</v>
      </c>
    </row>
    <row r="57" spans="1:42" x14ac:dyDescent="0.25">
      <c r="A57">
        <v>1.72</v>
      </c>
      <c r="B57">
        <v>824.62</v>
      </c>
      <c r="C57">
        <v>118.79</v>
      </c>
      <c r="D57">
        <v>25.73</v>
      </c>
      <c r="E57">
        <v>186.27</v>
      </c>
      <c r="F57">
        <v>1157.1199999999999</v>
      </c>
      <c r="G57">
        <v>146.41999999999999</v>
      </c>
      <c r="H57">
        <v>116.68</v>
      </c>
      <c r="I57">
        <v>97.39</v>
      </c>
      <c r="J57">
        <v>360.48</v>
      </c>
      <c r="K57">
        <v>1517.6</v>
      </c>
      <c r="L57">
        <v>0</v>
      </c>
      <c r="M57">
        <v>45.83</v>
      </c>
      <c r="N57">
        <v>0</v>
      </c>
      <c r="O57">
        <v>32.770000000000003</v>
      </c>
      <c r="P57">
        <v>78.599999999999994</v>
      </c>
      <c r="Q57">
        <v>0</v>
      </c>
      <c r="R57">
        <v>0.71</v>
      </c>
      <c r="S57">
        <v>9.1999999999999993</v>
      </c>
      <c r="T57">
        <v>1000.05</v>
      </c>
      <c r="U57">
        <v>0</v>
      </c>
      <c r="V57">
        <v>0</v>
      </c>
      <c r="W57">
        <v>62</v>
      </c>
      <c r="X57">
        <v>1071.96</v>
      </c>
      <c r="Y57">
        <v>0</v>
      </c>
      <c r="Z57">
        <v>307.16000000000003</v>
      </c>
      <c r="AA57">
        <v>59.94</v>
      </c>
      <c r="AB57">
        <v>0</v>
      </c>
      <c r="AC57">
        <v>19.52</v>
      </c>
      <c r="AD57">
        <v>0</v>
      </c>
      <c r="AE57">
        <v>3054.79</v>
      </c>
      <c r="AF57">
        <v>20397</v>
      </c>
      <c r="AG57" t="s">
        <v>65</v>
      </c>
      <c r="AH57" t="s">
        <v>66</v>
      </c>
      <c r="AI57" t="s">
        <v>65</v>
      </c>
      <c r="AJ57" t="s">
        <v>66</v>
      </c>
      <c r="AK57">
        <v>11030</v>
      </c>
      <c r="AL57" t="s">
        <v>50</v>
      </c>
      <c r="AM57">
        <v>2</v>
      </c>
      <c r="AN57">
        <v>2</v>
      </c>
      <c r="AO57">
        <v>2025</v>
      </c>
      <c r="AP57">
        <v>1</v>
      </c>
    </row>
    <row r="58" spans="1:42" x14ac:dyDescent="0.25">
      <c r="A58">
        <v>3.12</v>
      </c>
      <c r="B58">
        <v>424.93</v>
      </c>
      <c r="C58">
        <v>82.6</v>
      </c>
      <c r="D58">
        <v>19.84</v>
      </c>
      <c r="E58">
        <v>6.5</v>
      </c>
      <c r="F58">
        <v>536.99</v>
      </c>
      <c r="G58">
        <v>76.069999999999993</v>
      </c>
      <c r="H58">
        <v>264</v>
      </c>
      <c r="I58">
        <v>43.46</v>
      </c>
      <c r="J58">
        <v>383.53</v>
      </c>
      <c r="K58">
        <v>920.51</v>
      </c>
      <c r="L58">
        <v>-0.36</v>
      </c>
      <c r="M58">
        <v>204.07</v>
      </c>
      <c r="N58">
        <v>0</v>
      </c>
      <c r="O58">
        <v>0.25</v>
      </c>
      <c r="P58">
        <v>203.96</v>
      </c>
      <c r="Q58">
        <v>0.13</v>
      </c>
      <c r="R58">
        <v>2.5</v>
      </c>
      <c r="S58">
        <v>15.01</v>
      </c>
      <c r="T58">
        <v>365.49</v>
      </c>
      <c r="U58">
        <v>0</v>
      </c>
      <c r="V58">
        <v>0</v>
      </c>
      <c r="W58">
        <v>59.56</v>
      </c>
      <c r="X58">
        <v>442.68</v>
      </c>
      <c r="Y58">
        <v>0</v>
      </c>
      <c r="Z58">
        <v>36.590000000000003</v>
      </c>
      <c r="AA58">
        <v>19.46</v>
      </c>
      <c r="AB58">
        <v>0</v>
      </c>
      <c r="AC58">
        <v>24.29</v>
      </c>
      <c r="AD58">
        <v>0</v>
      </c>
      <c r="AE58">
        <v>1647.5</v>
      </c>
      <c r="AF58">
        <v>20378</v>
      </c>
      <c r="AG58" t="s">
        <v>67</v>
      </c>
      <c r="AH58" t="s">
        <v>68</v>
      </c>
      <c r="AI58" t="s">
        <v>67</v>
      </c>
      <c r="AJ58" t="s">
        <v>68</v>
      </c>
      <c r="AK58">
        <v>11022</v>
      </c>
      <c r="AL58" t="s">
        <v>50</v>
      </c>
      <c r="AM58">
        <v>2</v>
      </c>
      <c r="AN58">
        <v>2</v>
      </c>
      <c r="AO58">
        <v>2025</v>
      </c>
      <c r="AP58">
        <v>4</v>
      </c>
    </row>
    <row r="59" spans="1:42" x14ac:dyDescent="0.25">
      <c r="A59">
        <v>10.01</v>
      </c>
      <c r="B59">
        <v>480.33</v>
      </c>
      <c r="C59">
        <v>157.27000000000001</v>
      </c>
      <c r="D59">
        <v>68.27</v>
      </c>
      <c r="E59">
        <v>71.39</v>
      </c>
      <c r="F59">
        <v>787.27</v>
      </c>
      <c r="G59">
        <v>453.8</v>
      </c>
      <c r="H59">
        <v>145.35</v>
      </c>
      <c r="I59">
        <v>57.17</v>
      </c>
      <c r="J59">
        <v>656.32</v>
      </c>
      <c r="K59">
        <v>1443.59</v>
      </c>
      <c r="L59">
        <v>767.59</v>
      </c>
      <c r="M59">
        <v>10.25</v>
      </c>
      <c r="N59">
        <v>147.21</v>
      </c>
      <c r="O59">
        <v>77.260000000000005</v>
      </c>
      <c r="P59">
        <v>1002.31</v>
      </c>
      <c r="Q59">
        <v>0.23</v>
      </c>
      <c r="R59">
        <v>3.88</v>
      </c>
      <c r="S59">
        <v>34.659999999999997</v>
      </c>
      <c r="T59">
        <v>0</v>
      </c>
      <c r="U59">
        <v>102.14</v>
      </c>
      <c r="V59">
        <v>0</v>
      </c>
      <c r="W59">
        <v>154.19999999999999</v>
      </c>
      <c r="X59">
        <v>295.11</v>
      </c>
      <c r="Y59">
        <v>33.299999999999997</v>
      </c>
      <c r="Z59">
        <v>381.44</v>
      </c>
      <c r="AA59">
        <v>224.81</v>
      </c>
      <c r="AB59">
        <v>13.31</v>
      </c>
      <c r="AC59">
        <v>420.97</v>
      </c>
      <c r="AD59">
        <v>0.6</v>
      </c>
      <c r="AE59">
        <v>3815.45</v>
      </c>
      <c r="AF59">
        <v>20377</v>
      </c>
      <c r="AG59" t="s">
        <v>69</v>
      </c>
      <c r="AH59" t="s">
        <v>70</v>
      </c>
      <c r="AI59" t="s">
        <v>69</v>
      </c>
      <c r="AJ59" t="s">
        <v>70</v>
      </c>
      <c r="AK59">
        <v>6738</v>
      </c>
      <c r="AL59" t="s">
        <v>44</v>
      </c>
      <c r="AM59">
        <v>2</v>
      </c>
      <c r="AN59">
        <v>2</v>
      </c>
      <c r="AO59">
        <v>2025</v>
      </c>
      <c r="AP59">
        <v>2</v>
      </c>
    </row>
    <row r="60" spans="1:42" x14ac:dyDescent="0.25">
      <c r="A60">
        <v>11.06</v>
      </c>
      <c r="B60">
        <v>32.61</v>
      </c>
      <c r="C60">
        <v>27.01</v>
      </c>
      <c r="D60">
        <v>24.42</v>
      </c>
      <c r="E60">
        <v>0</v>
      </c>
      <c r="F60">
        <v>95.11</v>
      </c>
      <c r="G60">
        <v>1.02</v>
      </c>
      <c r="H60">
        <v>2.41</v>
      </c>
      <c r="I60">
        <v>7.2</v>
      </c>
      <c r="J60">
        <v>10.62</v>
      </c>
      <c r="K60">
        <v>105.73</v>
      </c>
      <c r="L60">
        <v>87.15</v>
      </c>
      <c r="M60">
        <v>3.95</v>
      </c>
      <c r="N60">
        <v>1.3</v>
      </c>
      <c r="O60">
        <v>1.21</v>
      </c>
      <c r="P60">
        <v>93.61</v>
      </c>
      <c r="Q60">
        <v>0.78</v>
      </c>
      <c r="R60">
        <v>5.15</v>
      </c>
      <c r="S60">
        <v>13.57</v>
      </c>
      <c r="T60">
        <v>0</v>
      </c>
      <c r="U60">
        <v>0</v>
      </c>
      <c r="V60">
        <v>0</v>
      </c>
      <c r="W60">
        <v>106.19</v>
      </c>
      <c r="X60">
        <v>125.69</v>
      </c>
      <c r="Y60">
        <v>4.46</v>
      </c>
      <c r="Z60">
        <v>14.76</v>
      </c>
      <c r="AA60">
        <v>0</v>
      </c>
      <c r="AB60">
        <v>5.1100000000000003</v>
      </c>
      <c r="AC60">
        <v>64.900000000000006</v>
      </c>
      <c r="AD60">
        <v>0</v>
      </c>
      <c r="AE60">
        <v>414.25</v>
      </c>
      <c r="AF60">
        <v>20310</v>
      </c>
      <c r="AG60" t="s">
        <v>71</v>
      </c>
      <c r="AH60" t="s">
        <v>72</v>
      </c>
      <c r="AI60" t="s">
        <v>71</v>
      </c>
      <c r="AJ60" t="s">
        <v>72</v>
      </c>
      <c r="AK60">
        <v>6076</v>
      </c>
      <c r="AL60" t="s">
        <v>44</v>
      </c>
      <c r="AM60">
        <v>1</v>
      </c>
      <c r="AN60">
        <v>1</v>
      </c>
      <c r="AO60">
        <v>2025</v>
      </c>
      <c r="AP60">
        <v>3</v>
      </c>
    </row>
    <row r="61" spans="1:42" x14ac:dyDescent="0.25">
      <c r="A61">
        <v>13.16</v>
      </c>
      <c r="B61">
        <v>29.42</v>
      </c>
      <c r="C61">
        <v>32.200000000000003</v>
      </c>
      <c r="D61">
        <v>30.32</v>
      </c>
      <c r="E61">
        <v>0</v>
      </c>
      <c r="F61">
        <v>105.1</v>
      </c>
      <c r="G61">
        <v>1.19</v>
      </c>
      <c r="H61">
        <v>3.78</v>
      </c>
      <c r="I61">
        <v>7.78</v>
      </c>
      <c r="J61">
        <v>12.75</v>
      </c>
      <c r="K61">
        <v>117.85</v>
      </c>
      <c r="L61">
        <v>86.25</v>
      </c>
      <c r="M61">
        <v>4.8899999999999997</v>
      </c>
      <c r="N61">
        <v>1.02</v>
      </c>
      <c r="O61">
        <v>0.83</v>
      </c>
      <c r="P61">
        <v>93</v>
      </c>
      <c r="Q61">
        <v>2.93</v>
      </c>
      <c r="R61">
        <v>5.52</v>
      </c>
      <c r="S61">
        <v>12.65</v>
      </c>
      <c r="T61">
        <v>0</v>
      </c>
      <c r="U61">
        <v>0</v>
      </c>
      <c r="V61">
        <v>0</v>
      </c>
      <c r="W61">
        <v>68.14</v>
      </c>
      <c r="X61">
        <v>89.23</v>
      </c>
      <c r="Y61">
        <v>3.48</v>
      </c>
      <c r="Z61">
        <v>13.45</v>
      </c>
      <c r="AA61">
        <v>0</v>
      </c>
      <c r="AB61">
        <v>1.21</v>
      </c>
      <c r="AC61">
        <v>46.85</v>
      </c>
      <c r="AD61">
        <v>0</v>
      </c>
      <c r="AE61">
        <v>365.07</v>
      </c>
      <c r="AF61">
        <v>20310</v>
      </c>
      <c r="AG61" t="s">
        <v>71</v>
      </c>
      <c r="AH61" t="s">
        <v>72</v>
      </c>
      <c r="AI61" t="s">
        <v>71</v>
      </c>
      <c r="AJ61" t="s">
        <v>72</v>
      </c>
      <c r="AK61">
        <v>6076</v>
      </c>
      <c r="AL61" t="s">
        <v>44</v>
      </c>
      <c r="AM61">
        <v>1</v>
      </c>
      <c r="AN61">
        <v>1</v>
      </c>
      <c r="AO61">
        <v>2025</v>
      </c>
      <c r="AP61">
        <v>4</v>
      </c>
    </row>
    <row r="62" spans="1:42" x14ac:dyDescent="0.25">
      <c r="A62">
        <v>13.48</v>
      </c>
      <c r="B62">
        <v>598.85</v>
      </c>
      <c r="C62">
        <v>197.52</v>
      </c>
      <c r="D62">
        <v>76.84</v>
      </c>
      <c r="E62">
        <v>75.77</v>
      </c>
      <c r="F62">
        <v>962.46</v>
      </c>
      <c r="G62">
        <v>613.22</v>
      </c>
      <c r="H62">
        <v>146.19</v>
      </c>
      <c r="I62">
        <v>66.31</v>
      </c>
      <c r="J62">
        <v>825.71</v>
      </c>
      <c r="K62">
        <v>1788.17</v>
      </c>
      <c r="L62">
        <v>866.93</v>
      </c>
      <c r="M62">
        <v>13.49</v>
      </c>
      <c r="N62">
        <v>166.39</v>
      </c>
      <c r="O62">
        <v>91.2</v>
      </c>
      <c r="P62">
        <v>1138.01</v>
      </c>
      <c r="Q62">
        <v>0.51</v>
      </c>
      <c r="R62">
        <v>5.92</v>
      </c>
      <c r="S62">
        <v>29.88</v>
      </c>
      <c r="T62">
        <v>0</v>
      </c>
      <c r="U62">
        <v>131.03</v>
      </c>
      <c r="V62">
        <v>0</v>
      </c>
      <c r="W62">
        <v>194.86</v>
      </c>
      <c r="X62">
        <v>362.21</v>
      </c>
      <c r="Y62">
        <v>35.75</v>
      </c>
      <c r="Z62">
        <v>447.51</v>
      </c>
      <c r="AA62">
        <v>253.04</v>
      </c>
      <c r="AB62">
        <v>0</v>
      </c>
      <c r="AC62">
        <v>520.28</v>
      </c>
      <c r="AD62">
        <v>5.14</v>
      </c>
      <c r="AE62">
        <v>4550.09</v>
      </c>
      <c r="AF62">
        <v>20377</v>
      </c>
      <c r="AG62" t="s">
        <v>69</v>
      </c>
      <c r="AH62" t="s">
        <v>70</v>
      </c>
      <c r="AI62" t="s">
        <v>69</v>
      </c>
      <c r="AJ62" t="s">
        <v>70</v>
      </c>
      <c r="AK62">
        <v>6738</v>
      </c>
      <c r="AL62" t="s">
        <v>44</v>
      </c>
      <c r="AM62">
        <v>2</v>
      </c>
      <c r="AN62">
        <v>2</v>
      </c>
      <c r="AO62">
        <v>2025</v>
      </c>
      <c r="AP62">
        <v>3</v>
      </c>
    </row>
    <row r="63" spans="1:42" x14ac:dyDescent="0.25">
      <c r="A63">
        <v>15.68</v>
      </c>
      <c r="B63">
        <v>27.09</v>
      </c>
      <c r="C63">
        <v>31.41</v>
      </c>
      <c r="D63">
        <v>24.53</v>
      </c>
      <c r="E63">
        <v>0</v>
      </c>
      <c r="F63">
        <v>98.7</v>
      </c>
      <c r="G63">
        <v>1.04</v>
      </c>
      <c r="H63">
        <v>1.95</v>
      </c>
      <c r="I63">
        <v>7.52</v>
      </c>
      <c r="J63">
        <v>10.51</v>
      </c>
      <c r="K63">
        <v>109.21</v>
      </c>
      <c r="L63">
        <v>71.89</v>
      </c>
      <c r="M63">
        <v>8.76</v>
      </c>
      <c r="N63">
        <v>0.44</v>
      </c>
      <c r="O63">
        <v>0.66</v>
      </c>
      <c r="P63">
        <v>81.75</v>
      </c>
      <c r="Q63">
        <v>0.39</v>
      </c>
      <c r="R63">
        <v>3.14</v>
      </c>
      <c r="S63">
        <v>13.39</v>
      </c>
      <c r="T63">
        <v>0</v>
      </c>
      <c r="U63">
        <v>0</v>
      </c>
      <c r="V63">
        <v>0</v>
      </c>
      <c r="W63">
        <v>48.63</v>
      </c>
      <c r="X63">
        <v>65.55</v>
      </c>
      <c r="Y63">
        <v>2.74</v>
      </c>
      <c r="Z63">
        <v>11.55</v>
      </c>
      <c r="AA63">
        <v>0</v>
      </c>
      <c r="AB63">
        <v>0</v>
      </c>
      <c r="AC63">
        <v>86.9</v>
      </c>
      <c r="AD63">
        <v>0</v>
      </c>
      <c r="AE63">
        <v>357.7</v>
      </c>
      <c r="AF63">
        <v>20310</v>
      </c>
      <c r="AG63" t="s">
        <v>71</v>
      </c>
      <c r="AH63" t="s">
        <v>72</v>
      </c>
      <c r="AI63" t="s">
        <v>71</v>
      </c>
      <c r="AJ63" t="s">
        <v>72</v>
      </c>
      <c r="AK63">
        <v>6076</v>
      </c>
      <c r="AL63" t="s">
        <v>44</v>
      </c>
      <c r="AM63">
        <v>1</v>
      </c>
      <c r="AN63">
        <v>1</v>
      </c>
      <c r="AO63">
        <v>2025</v>
      </c>
      <c r="AP63">
        <v>2</v>
      </c>
    </row>
    <row r="64" spans="1:42" x14ac:dyDescent="0.25">
      <c r="A64">
        <v>20.47</v>
      </c>
      <c r="B64">
        <v>223.7</v>
      </c>
      <c r="C64">
        <v>83.69</v>
      </c>
      <c r="D64">
        <v>18.809999999999999</v>
      </c>
      <c r="E64">
        <v>61.95</v>
      </c>
      <c r="F64">
        <v>408.62</v>
      </c>
      <c r="G64">
        <v>61.21</v>
      </c>
      <c r="H64">
        <v>28.44</v>
      </c>
      <c r="I64">
        <v>29.86</v>
      </c>
      <c r="J64">
        <v>119.51</v>
      </c>
      <c r="K64">
        <v>528.13</v>
      </c>
      <c r="L64">
        <v>0</v>
      </c>
      <c r="M64">
        <v>169.31</v>
      </c>
      <c r="N64">
        <v>0</v>
      </c>
      <c r="O64">
        <v>13.15</v>
      </c>
      <c r="P64">
        <v>182.46</v>
      </c>
      <c r="Q64">
        <v>0.51</v>
      </c>
      <c r="R64">
        <v>0.02</v>
      </c>
      <c r="S64">
        <v>12.68</v>
      </c>
      <c r="T64">
        <v>130.06</v>
      </c>
      <c r="U64">
        <v>0</v>
      </c>
      <c r="V64">
        <v>0</v>
      </c>
      <c r="W64">
        <v>27.3</v>
      </c>
      <c r="X64">
        <v>170.56</v>
      </c>
      <c r="Y64">
        <v>0</v>
      </c>
      <c r="Z64">
        <v>7.91</v>
      </c>
      <c r="AA64">
        <v>10.77</v>
      </c>
      <c r="AB64">
        <v>0</v>
      </c>
      <c r="AC64">
        <v>11.54</v>
      </c>
      <c r="AD64">
        <v>0</v>
      </c>
      <c r="AE64">
        <v>911.38</v>
      </c>
      <c r="AF64">
        <v>20445</v>
      </c>
      <c r="AG64" t="s">
        <v>73</v>
      </c>
      <c r="AH64" t="s">
        <v>74</v>
      </c>
      <c r="AI64" t="s">
        <v>73</v>
      </c>
      <c r="AJ64" t="s">
        <v>74</v>
      </c>
      <c r="AK64">
        <v>11059</v>
      </c>
      <c r="AL64" t="s">
        <v>50</v>
      </c>
      <c r="AM64">
        <v>2</v>
      </c>
      <c r="AN64">
        <v>2</v>
      </c>
      <c r="AO64">
        <v>2025</v>
      </c>
      <c r="AP64">
        <v>2</v>
      </c>
    </row>
    <row r="65" spans="1:42" x14ac:dyDescent="0.25">
      <c r="A65">
        <v>20.78</v>
      </c>
      <c r="B65">
        <v>939.64</v>
      </c>
      <c r="C65">
        <v>312.45999999999998</v>
      </c>
      <c r="D65">
        <v>133.28</v>
      </c>
      <c r="E65">
        <v>142.18</v>
      </c>
      <c r="F65">
        <v>1548.34</v>
      </c>
      <c r="G65">
        <v>671.75</v>
      </c>
      <c r="H65">
        <v>224.87</v>
      </c>
      <c r="I65">
        <v>130.77000000000001</v>
      </c>
      <c r="J65">
        <v>1027.3900000000001</v>
      </c>
      <c r="K65">
        <v>2575.73</v>
      </c>
      <c r="L65">
        <v>1276.55</v>
      </c>
      <c r="M65">
        <v>13.11</v>
      </c>
      <c r="N65">
        <v>244.5</v>
      </c>
      <c r="O65">
        <v>78.739999999999995</v>
      </c>
      <c r="P65">
        <v>1612.9</v>
      </c>
      <c r="Q65">
        <v>0.9</v>
      </c>
      <c r="R65">
        <v>12.63</v>
      </c>
      <c r="S65">
        <v>28.12</v>
      </c>
      <c r="T65">
        <v>0</v>
      </c>
      <c r="U65">
        <v>168.02</v>
      </c>
      <c r="V65">
        <v>0</v>
      </c>
      <c r="W65">
        <v>237.83</v>
      </c>
      <c r="X65">
        <v>447.49</v>
      </c>
      <c r="Y65">
        <v>50.45</v>
      </c>
      <c r="Z65">
        <v>743.31</v>
      </c>
      <c r="AA65">
        <v>420.7</v>
      </c>
      <c r="AB65">
        <v>66.45</v>
      </c>
      <c r="AC65">
        <v>574.75</v>
      </c>
      <c r="AD65">
        <v>0</v>
      </c>
      <c r="AE65">
        <v>6491.79</v>
      </c>
      <c r="AF65">
        <v>20377</v>
      </c>
      <c r="AG65" t="s">
        <v>69</v>
      </c>
      <c r="AH65" t="s">
        <v>70</v>
      </c>
      <c r="AI65" t="s">
        <v>69</v>
      </c>
      <c r="AJ65" t="s">
        <v>70</v>
      </c>
      <c r="AK65">
        <v>6738</v>
      </c>
      <c r="AL65" t="s">
        <v>44</v>
      </c>
      <c r="AM65">
        <v>2</v>
      </c>
      <c r="AN65">
        <v>2</v>
      </c>
      <c r="AO65">
        <v>2025</v>
      </c>
      <c r="AP65">
        <v>1</v>
      </c>
    </row>
    <row r="66" spans="1:42" x14ac:dyDescent="0.25">
      <c r="A66">
        <v>20.87</v>
      </c>
      <c r="B66">
        <v>40.69</v>
      </c>
      <c r="C66">
        <v>40.89</v>
      </c>
      <c r="D66">
        <v>29.03</v>
      </c>
      <c r="E66">
        <v>0</v>
      </c>
      <c r="F66">
        <v>131.47999999999999</v>
      </c>
      <c r="G66">
        <v>1.42</v>
      </c>
      <c r="H66">
        <v>3.46</v>
      </c>
      <c r="I66">
        <v>10.53</v>
      </c>
      <c r="J66">
        <v>15.41</v>
      </c>
      <c r="K66">
        <v>146.88</v>
      </c>
      <c r="L66">
        <v>139.07</v>
      </c>
      <c r="M66">
        <v>11.66</v>
      </c>
      <c r="N66">
        <v>6.42</v>
      </c>
      <c r="O66">
        <v>1.68</v>
      </c>
      <c r="P66">
        <v>158.83000000000001</v>
      </c>
      <c r="Q66">
        <v>0.09</v>
      </c>
      <c r="R66">
        <v>3.92</v>
      </c>
      <c r="S66">
        <v>18</v>
      </c>
      <c r="T66">
        <v>0</v>
      </c>
      <c r="U66">
        <v>0</v>
      </c>
      <c r="V66">
        <v>0</v>
      </c>
      <c r="W66">
        <v>97.06</v>
      </c>
      <c r="X66">
        <v>119.07</v>
      </c>
      <c r="Y66">
        <v>5.96</v>
      </c>
      <c r="Z66">
        <v>107.03</v>
      </c>
      <c r="AA66">
        <v>0</v>
      </c>
      <c r="AB66">
        <v>0</v>
      </c>
      <c r="AC66">
        <v>173.7</v>
      </c>
      <c r="AD66">
        <v>0</v>
      </c>
      <c r="AE66">
        <v>711.47</v>
      </c>
      <c r="AF66">
        <v>20310</v>
      </c>
      <c r="AG66" t="s">
        <v>71</v>
      </c>
      <c r="AH66" t="s">
        <v>72</v>
      </c>
      <c r="AI66" t="s">
        <v>71</v>
      </c>
      <c r="AJ66" t="s">
        <v>72</v>
      </c>
      <c r="AK66">
        <v>6076</v>
      </c>
      <c r="AL66" t="s">
        <v>44</v>
      </c>
      <c r="AM66">
        <v>1</v>
      </c>
      <c r="AN66">
        <v>1</v>
      </c>
      <c r="AO66">
        <v>2025</v>
      </c>
      <c r="AP66">
        <v>1</v>
      </c>
    </row>
    <row r="67" spans="1:42" x14ac:dyDescent="0.25">
      <c r="A67">
        <v>25.64</v>
      </c>
      <c r="B67">
        <v>952.04</v>
      </c>
      <c r="C67">
        <v>532.58000000000004</v>
      </c>
      <c r="D67">
        <v>13.09</v>
      </c>
      <c r="E67">
        <v>85.15</v>
      </c>
      <c r="F67">
        <v>1608.5</v>
      </c>
      <c r="G67">
        <v>280.13</v>
      </c>
      <c r="H67">
        <v>361.97</v>
      </c>
      <c r="I67">
        <v>103.88</v>
      </c>
      <c r="J67">
        <v>745.98</v>
      </c>
      <c r="K67">
        <v>2354.4699999999998</v>
      </c>
      <c r="L67">
        <v>33.11</v>
      </c>
      <c r="M67">
        <v>1197.26</v>
      </c>
      <c r="N67">
        <v>0</v>
      </c>
      <c r="O67">
        <v>15.38</v>
      </c>
      <c r="P67">
        <v>1245.75</v>
      </c>
      <c r="Q67">
        <v>0</v>
      </c>
      <c r="R67">
        <v>4.88</v>
      </c>
      <c r="S67">
        <v>41.93</v>
      </c>
      <c r="T67">
        <v>50.97</v>
      </c>
      <c r="U67">
        <v>0</v>
      </c>
      <c r="V67">
        <v>0</v>
      </c>
      <c r="W67">
        <v>549.05999999999995</v>
      </c>
      <c r="X67">
        <v>646.83000000000004</v>
      </c>
      <c r="Y67">
        <v>0</v>
      </c>
      <c r="Z67">
        <v>318.89999999999998</v>
      </c>
      <c r="AA67">
        <v>313.58999999999997</v>
      </c>
      <c r="AB67">
        <v>0</v>
      </c>
      <c r="AC67">
        <v>21.98</v>
      </c>
      <c r="AD67">
        <v>157.03</v>
      </c>
      <c r="AE67">
        <v>5058.54</v>
      </c>
      <c r="AF67">
        <v>20453</v>
      </c>
      <c r="AG67" t="s">
        <v>75</v>
      </c>
      <c r="AH67" t="s">
        <v>76</v>
      </c>
      <c r="AI67" t="s">
        <v>75</v>
      </c>
      <c r="AJ67" t="s">
        <v>76</v>
      </c>
      <c r="AK67">
        <v>11009</v>
      </c>
      <c r="AL67" t="s">
        <v>53</v>
      </c>
      <c r="AM67">
        <v>2</v>
      </c>
      <c r="AN67">
        <v>2</v>
      </c>
      <c r="AO67">
        <v>2025</v>
      </c>
      <c r="AP67">
        <v>2</v>
      </c>
    </row>
    <row r="68" spans="1:42" x14ac:dyDescent="0.25">
      <c r="A68">
        <v>26.08</v>
      </c>
      <c r="B68">
        <v>204.39</v>
      </c>
      <c r="C68">
        <v>57.96</v>
      </c>
      <c r="D68">
        <v>0</v>
      </c>
      <c r="E68">
        <v>0</v>
      </c>
      <c r="F68">
        <v>288.43</v>
      </c>
      <c r="G68">
        <v>4.47</v>
      </c>
      <c r="H68">
        <v>40.14</v>
      </c>
      <c r="I68">
        <v>21.13</v>
      </c>
      <c r="J68">
        <v>65.739999999999995</v>
      </c>
      <c r="K68">
        <v>354.17</v>
      </c>
      <c r="L68">
        <v>0.49</v>
      </c>
      <c r="M68">
        <v>23.96</v>
      </c>
      <c r="N68">
        <v>0</v>
      </c>
      <c r="O68">
        <v>0</v>
      </c>
      <c r="P68">
        <v>24.45</v>
      </c>
      <c r="Q68">
        <v>0</v>
      </c>
      <c r="R68">
        <v>1.71</v>
      </c>
      <c r="S68">
        <v>10.92</v>
      </c>
      <c r="T68">
        <v>81.37</v>
      </c>
      <c r="U68">
        <v>0</v>
      </c>
      <c r="V68">
        <v>0</v>
      </c>
      <c r="W68">
        <v>35.31</v>
      </c>
      <c r="X68">
        <v>129.31</v>
      </c>
      <c r="Y68">
        <v>0</v>
      </c>
      <c r="Z68">
        <v>9.31</v>
      </c>
      <c r="AA68">
        <v>2.94</v>
      </c>
      <c r="AB68">
        <v>0.42</v>
      </c>
      <c r="AC68">
        <v>64.84</v>
      </c>
      <c r="AD68">
        <v>0</v>
      </c>
      <c r="AE68">
        <v>585.42999999999995</v>
      </c>
      <c r="AF68">
        <v>20363</v>
      </c>
      <c r="AG68" t="s">
        <v>77</v>
      </c>
      <c r="AH68" t="s">
        <v>78</v>
      </c>
      <c r="AI68" t="s">
        <v>77</v>
      </c>
      <c r="AJ68" t="s">
        <v>78</v>
      </c>
      <c r="AK68">
        <v>11027</v>
      </c>
      <c r="AL68" t="s">
        <v>50</v>
      </c>
      <c r="AM68">
        <v>2</v>
      </c>
      <c r="AN68">
        <v>2</v>
      </c>
      <c r="AO68">
        <v>2025</v>
      </c>
      <c r="AP68">
        <v>3</v>
      </c>
    </row>
    <row r="69" spans="1:42" x14ac:dyDescent="0.25">
      <c r="A69">
        <v>32.479999999999997</v>
      </c>
      <c r="B69">
        <v>420.91</v>
      </c>
      <c r="C69">
        <v>158.62</v>
      </c>
      <c r="D69">
        <v>35.380000000000003</v>
      </c>
      <c r="E69">
        <v>119.92</v>
      </c>
      <c r="F69">
        <v>767.32</v>
      </c>
      <c r="G69">
        <v>103.57</v>
      </c>
      <c r="H69">
        <v>78.63</v>
      </c>
      <c r="I69">
        <v>64.650000000000006</v>
      </c>
      <c r="J69">
        <v>246.85</v>
      </c>
      <c r="K69">
        <v>1014.17</v>
      </c>
      <c r="L69">
        <v>0.49</v>
      </c>
      <c r="M69">
        <v>289.52</v>
      </c>
      <c r="N69">
        <v>0</v>
      </c>
      <c r="O69">
        <v>23.73</v>
      </c>
      <c r="P69">
        <v>313.73</v>
      </c>
      <c r="Q69">
        <v>0.76</v>
      </c>
      <c r="R69">
        <v>0.03</v>
      </c>
      <c r="S69">
        <v>24.79</v>
      </c>
      <c r="T69">
        <v>216.08</v>
      </c>
      <c r="U69">
        <v>0</v>
      </c>
      <c r="V69">
        <v>0</v>
      </c>
      <c r="W69">
        <v>53.67</v>
      </c>
      <c r="X69">
        <v>295.33999999999997</v>
      </c>
      <c r="Y69">
        <v>0</v>
      </c>
      <c r="Z69">
        <v>21.09</v>
      </c>
      <c r="AA69">
        <v>18.86</v>
      </c>
      <c r="AB69">
        <v>0</v>
      </c>
      <c r="AC69">
        <v>21.64</v>
      </c>
      <c r="AD69">
        <v>0</v>
      </c>
      <c r="AE69">
        <v>1684.83</v>
      </c>
      <c r="AF69">
        <v>20445</v>
      </c>
      <c r="AG69" t="s">
        <v>73</v>
      </c>
      <c r="AH69" t="s">
        <v>74</v>
      </c>
      <c r="AI69" t="s">
        <v>73</v>
      </c>
      <c r="AJ69" t="s">
        <v>74</v>
      </c>
      <c r="AK69">
        <v>11059</v>
      </c>
      <c r="AL69" t="s">
        <v>50</v>
      </c>
      <c r="AM69">
        <v>2</v>
      </c>
      <c r="AN69">
        <v>2</v>
      </c>
      <c r="AO69">
        <v>2025</v>
      </c>
      <c r="AP69">
        <v>1</v>
      </c>
    </row>
    <row r="70" spans="1:42" x14ac:dyDescent="0.25">
      <c r="A70">
        <v>33.630000000000003</v>
      </c>
      <c r="B70">
        <v>1511.41</v>
      </c>
      <c r="C70">
        <v>714.94</v>
      </c>
      <c r="D70">
        <v>21.89</v>
      </c>
      <c r="E70">
        <v>114.16</v>
      </c>
      <c r="F70">
        <v>2396.0300000000002</v>
      </c>
      <c r="G70">
        <v>414.34</v>
      </c>
      <c r="H70">
        <v>619.41999999999996</v>
      </c>
      <c r="I70">
        <v>189.4</v>
      </c>
      <c r="J70">
        <v>1223.1600000000001</v>
      </c>
      <c r="K70">
        <v>3619.19</v>
      </c>
      <c r="L70">
        <v>46.35</v>
      </c>
      <c r="M70">
        <v>1531.93</v>
      </c>
      <c r="N70">
        <v>0</v>
      </c>
      <c r="O70">
        <v>26.4</v>
      </c>
      <c r="P70">
        <v>1604.68</v>
      </c>
      <c r="Q70">
        <v>0</v>
      </c>
      <c r="R70">
        <v>10.99</v>
      </c>
      <c r="S70">
        <v>63.27</v>
      </c>
      <c r="T70">
        <v>56.1</v>
      </c>
      <c r="U70">
        <v>0</v>
      </c>
      <c r="V70">
        <v>0</v>
      </c>
      <c r="W70">
        <v>761.1</v>
      </c>
      <c r="X70">
        <v>891.47</v>
      </c>
      <c r="Y70">
        <v>0</v>
      </c>
      <c r="Z70">
        <v>507.03</v>
      </c>
      <c r="AA70">
        <v>478.52</v>
      </c>
      <c r="AB70">
        <v>0</v>
      </c>
      <c r="AC70">
        <v>34.24</v>
      </c>
      <c r="AD70">
        <v>229.03</v>
      </c>
      <c r="AE70">
        <v>7364.16</v>
      </c>
      <c r="AF70">
        <v>20453</v>
      </c>
      <c r="AG70" t="s">
        <v>75</v>
      </c>
      <c r="AH70" t="s">
        <v>76</v>
      </c>
      <c r="AI70" t="s">
        <v>75</v>
      </c>
      <c r="AJ70" t="s">
        <v>76</v>
      </c>
      <c r="AK70">
        <v>11009</v>
      </c>
      <c r="AL70" t="s">
        <v>53</v>
      </c>
      <c r="AM70">
        <v>2</v>
      </c>
      <c r="AN70">
        <v>2</v>
      </c>
      <c r="AO70">
        <v>2025</v>
      </c>
      <c r="AP70">
        <v>1</v>
      </c>
    </row>
    <row r="71" spans="1:42" x14ac:dyDescent="0.25">
      <c r="A71">
        <v>34.04</v>
      </c>
      <c r="B71">
        <v>1335.83</v>
      </c>
      <c r="C71">
        <v>536.89</v>
      </c>
      <c r="D71">
        <v>393.43</v>
      </c>
      <c r="E71">
        <v>0</v>
      </c>
      <c r="F71">
        <v>2300.19</v>
      </c>
      <c r="G71">
        <v>38.22</v>
      </c>
      <c r="H71">
        <v>31.07</v>
      </c>
      <c r="I71">
        <v>179.95</v>
      </c>
      <c r="J71">
        <v>249.24</v>
      </c>
      <c r="K71">
        <v>2549.4299999999998</v>
      </c>
      <c r="L71">
        <v>1190.24</v>
      </c>
      <c r="M71">
        <v>199.98</v>
      </c>
      <c r="N71">
        <v>0</v>
      </c>
      <c r="O71">
        <v>0</v>
      </c>
      <c r="P71">
        <v>1390.22</v>
      </c>
      <c r="Q71">
        <v>547.80999999999995</v>
      </c>
      <c r="R71">
        <v>11.54</v>
      </c>
      <c r="S71">
        <v>200.86</v>
      </c>
      <c r="T71">
        <v>325.82</v>
      </c>
      <c r="U71">
        <v>198.14</v>
      </c>
      <c r="V71">
        <v>0</v>
      </c>
      <c r="W71">
        <v>100.43</v>
      </c>
      <c r="X71">
        <v>1384.6</v>
      </c>
      <c r="Y71">
        <v>175.95</v>
      </c>
      <c r="Z71">
        <v>-116.06</v>
      </c>
      <c r="AA71">
        <v>157.81</v>
      </c>
      <c r="AB71">
        <v>65.28</v>
      </c>
      <c r="AC71">
        <v>1130.22</v>
      </c>
      <c r="AD71">
        <v>0</v>
      </c>
      <c r="AE71">
        <v>6737.45</v>
      </c>
      <c r="AF71">
        <v>20401</v>
      </c>
      <c r="AG71" t="s">
        <v>79</v>
      </c>
      <c r="AH71" t="s">
        <v>80</v>
      </c>
      <c r="AI71" t="s">
        <v>79</v>
      </c>
      <c r="AJ71" t="s">
        <v>80</v>
      </c>
      <c r="AK71">
        <v>11056</v>
      </c>
      <c r="AL71" t="s">
        <v>47</v>
      </c>
      <c r="AM71">
        <v>2</v>
      </c>
      <c r="AN71">
        <v>2</v>
      </c>
      <c r="AO71">
        <v>2025</v>
      </c>
      <c r="AP71">
        <v>1</v>
      </c>
    </row>
    <row r="72" spans="1:42" x14ac:dyDescent="0.25">
      <c r="A72">
        <v>37.22</v>
      </c>
      <c r="B72">
        <v>374.59</v>
      </c>
      <c r="C72">
        <v>104.24</v>
      </c>
      <c r="D72">
        <v>0</v>
      </c>
      <c r="E72">
        <v>0</v>
      </c>
      <c r="F72">
        <v>516.04999999999995</v>
      </c>
      <c r="G72">
        <v>6.64</v>
      </c>
      <c r="H72">
        <v>73.36</v>
      </c>
      <c r="I72">
        <v>31.06</v>
      </c>
      <c r="J72">
        <v>111.06</v>
      </c>
      <c r="K72">
        <v>627.11</v>
      </c>
      <c r="L72">
        <v>0.69</v>
      </c>
      <c r="M72">
        <v>39.86</v>
      </c>
      <c r="N72">
        <v>0.05</v>
      </c>
      <c r="O72">
        <v>0</v>
      </c>
      <c r="P72">
        <v>40.590000000000003</v>
      </c>
      <c r="Q72">
        <v>0</v>
      </c>
      <c r="R72">
        <v>3.02</v>
      </c>
      <c r="S72">
        <v>-3.78</v>
      </c>
      <c r="T72">
        <v>168.54</v>
      </c>
      <c r="U72">
        <v>0</v>
      </c>
      <c r="V72">
        <v>0</v>
      </c>
      <c r="W72">
        <v>57.67</v>
      </c>
      <c r="X72">
        <v>225.45</v>
      </c>
      <c r="Y72">
        <v>0</v>
      </c>
      <c r="Z72">
        <v>16.34</v>
      </c>
      <c r="AA72">
        <v>5.51</v>
      </c>
      <c r="AB72">
        <v>0.74</v>
      </c>
      <c r="AC72">
        <v>105.88</v>
      </c>
      <c r="AD72">
        <v>0</v>
      </c>
      <c r="AE72">
        <v>1021.61</v>
      </c>
      <c r="AF72">
        <v>20363</v>
      </c>
      <c r="AG72" t="s">
        <v>77</v>
      </c>
      <c r="AH72" t="s">
        <v>78</v>
      </c>
      <c r="AI72" t="s">
        <v>77</v>
      </c>
      <c r="AJ72" t="s">
        <v>78</v>
      </c>
      <c r="AK72">
        <v>11027</v>
      </c>
      <c r="AL72" t="s">
        <v>50</v>
      </c>
      <c r="AM72">
        <v>2</v>
      </c>
      <c r="AN72">
        <v>2</v>
      </c>
      <c r="AO72">
        <v>2025</v>
      </c>
      <c r="AP72">
        <v>4</v>
      </c>
    </row>
    <row r="73" spans="1:42" x14ac:dyDescent="0.25">
      <c r="A73">
        <v>39.130000000000003</v>
      </c>
      <c r="B73">
        <v>1697.07</v>
      </c>
      <c r="C73">
        <v>508.03</v>
      </c>
      <c r="D73">
        <v>204.59</v>
      </c>
      <c r="E73">
        <v>216.89</v>
      </c>
      <c r="F73">
        <v>2665.71</v>
      </c>
      <c r="G73">
        <v>1473.86</v>
      </c>
      <c r="H73">
        <v>437.97</v>
      </c>
      <c r="I73">
        <v>147.15</v>
      </c>
      <c r="J73">
        <v>2058.98</v>
      </c>
      <c r="K73">
        <v>4724.6899999999996</v>
      </c>
      <c r="L73">
        <v>2194.7800000000002</v>
      </c>
      <c r="M73">
        <v>38.380000000000003</v>
      </c>
      <c r="N73">
        <v>539.49</v>
      </c>
      <c r="O73">
        <v>175.14</v>
      </c>
      <c r="P73">
        <v>2947.79</v>
      </c>
      <c r="Q73">
        <v>0.31</v>
      </c>
      <c r="R73">
        <v>21.05</v>
      </c>
      <c r="S73">
        <v>51.71</v>
      </c>
      <c r="T73">
        <v>0</v>
      </c>
      <c r="U73">
        <v>238.3</v>
      </c>
      <c r="V73">
        <v>0</v>
      </c>
      <c r="W73">
        <v>495.59</v>
      </c>
      <c r="X73">
        <v>806.97</v>
      </c>
      <c r="Y73">
        <v>108.38</v>
      </c>
      <c r="Z73">
        <v>1278.79</v>
      </c>
      <c r="AA73">
        <v>1192.95</v>
      </c>
      <c r="AB73">
        <v>36.19</v>
      </c>
      <c r="AC73">
        <v>1628.79</v>
      </c>
      <c r="AD73">
        <v>3.57</v>
      </c>
      <c r="AE73">
        <v>12728.11</v>
      </c>
      <c r="AF73">
        <v>20377</v>
      </c>
      <c r="AG73" t="s">
        <v>69</v>
      </c>
      <c r="AH73" t="s">
        <v>70</v>
      </c>
      <c r="AI73" t="s">
        <v>69</v>
      </c>
      <c r="AJ73" t="s">
        <v>70</v>
      </c>
      <c r="AK73">
        <v>6738</v>
      </c>
      <c r="AL73" t="s">
        <v>44</v>
      </c>
      <c r="AM73">
        <v>2</v>
      </c>
      <c r="AN73">
        <v>2</v>
      </c>
      <c r="AO73">
        <v>2025</v>
      </c>
      <c r="AP73">
        <v>4</v>
      </c>
    </row>
    <row r="74" spans="1:42" x14ac:dyDescent="0.25">
      <c r="A74">
        <v>47.59</v>
      </c>
      <c r="B74">
        <v>474.98</v>
      </c>
      <c r="C74">
        <v>153.27000000000001</v>
      </c>
      <c r="D74">
        <v>43.75</v>
      </c>
      <c r="E74">
        <v>132.91</v>
      </c>
      <c r="F74">
        <v>852.5</v>
      </c>
      <c r="G74">
        <v>130.08000000000001</v>
      </c>
      <c r="H74">
        <v>90.57</v>
      </c>
      <c r="I74">
        <v>53.3</v>
      </c>
      <c r="J74">
        <v>273.95</v>
      </c>
      <c r="K74">
        <v>1126.45</v>
      </c>
      <c r="L74">
        <v>0.62</v>
      </c>
      <c r="M74">
        <v>431.98</v>
      </c>
      <c r="N74">
        <v>0</v>
      </c>
      <c r="O74">
        <v>26.01</v>
      </c>
      <c r="P74">
        <v>458.6</v>
      </c>
      <c r="Q74">
        <v>1.21</v>
      </c>
      <c r="R74">
        <v>0.06</v>
      </c>
      <c r="S74">
        <v>27.98</v>
      </c>
      <c r="T74">
        <v>289.32</v>
      </c>
      <c r="U74">
        <v>0</v>
      </c>
      <c r="V74">
        <v>0</v>
      </c>
      <c r="W74">
        <v>57.47</v>
      </c>
      <c r="X74">
        <v>376.04</v>
      </c>
      <c r="Y74">
        <v>0</v>
      </c>
      <c r="Z74">
        <v>18.63</v>
      </c>
      <c r="AA74">
        <v>25.12</v>
      </c>
      <c r="AB74">
        <v>0</v>
      </c>
      <c r="AC74">
        <v>17.77</v>
      </c>
      <c r="AD74">
        <v>0</v>
      </c>
      <c r="AE74">
        <v>2022.61</v>
      </c>
      <c r="AF74">
        <v>20445</v>
      </c>
      <c r="AG74" t="s">
        <v>73</v>
      </c>
      <c r="AH74" t="s">
        <v>74</v>
      </c>
      <c r="AI74" t="s">
        <v>73</v>
      </c>
      <c r="AJ74" t="s">
        <v>74</v>
      </c>
      <c r="AK74">
        <v>11059</v>
      </c>
      <c r="AL74" t="s">
        <v>50</v>
      </c>
      <c r="AM74">
        <v>2</v>
      </c>
      <c r="AN74">
        <v>2</v>
      </c>
      <c r="AO74">
        <v>2025</v>
      </c>
      <c r="AP74">
        <v>3</v>
      </c>
    </row>
    <row r="75" spans="1:42" x14ac:dyDescent="0.25">
      <c r="A75">
        <v>51.15</v>
      </c>
      <c r="B75">
        <v>2056.15</v>
      </c>
      <c r="C75">
        <v>1100.6199999999999</v>
      </c>
      <c r="D75">
        <v>25.16</v>
      </c>
      <c r="E75">
        <v>201.49</v>
      </c>
      <c r="F75">
        <v>3434.57</v>
      </c>
      <c r="G75">
        <v>584.79</v>
      </c>
      <c r="H75">
        <v>649.41</v>
      </c>
      <c r="I75">
        <v>179.39</v>
      </c>
      <c r="J75">
        <v>1413.59</v>
      </c>
      <c r="K75">
        <v>4848.1499999999996</v>
      </c>
      <c r="L75">
        <v>58.15</v>
      </c>
      <c r="M75">
        <v>2160.0100000000002</v>
      </c>
      <c r="N75">
        <v>0</v>
      </c>
      <c r="O75">
        <v>25.5</v>
      </c>
      <c r="P75">
        <v>2243.66</v>
      </c>
      <c r="Q75">
        <v>0.32</v>
      </c>
      <c r="R75">
        <v>9.9</v>
      </c>
      <c r="S75">
        <v>86.44</v>
      </c>
      <c r="T75">
        <v>59.46</v>
      </c>
      <c r="U75">
        <v>0</v>
      </c>
      <c r="V75">
        <v>0</v>
      </c>
      <c r="W75">
        <v>993.74</v>
      </c>
      <c r="X75">
        <v>1149.8399999999999</v>
      </c>
      <c r="Y75">
        <v>0.76</v>
      </c>
      <c r="Z75">
        <v>655.43</v>
      </c>
      <c r="AA75">
        <v>635.09</v>
      </c>
      <c r="AB75">
        <v>0</v>
      </c>
      <c r="AC75">
        <v>26.11</v>
      </c>
      <c r="AD75">
        <v>463.39</v>
      </c>
      <c r="AE75">
        <v>10022.43</v>
      </c>
      <c r="AF75">
        <v>20453</v>
      </c>
      <c r="AG75" t="s">
        <v>75</v>
      </c>
      <c r="AH75" t="s">
        <v>76</v>
      </c>
      <c r="AI75" t="s">
        <v>75</v>
      </c>
      <c r="AJ75" t="s">
        <v>76</v>
      </c>
      <c r="AK75">
        <v>11009</v>
      </c>
      <c r="AL75" t="s">
        <v>53</v>
      </c>
      <c r="AM75">
        <v>2</v>
      </c>
      <c r="AN75">
        <v>2</v>
      </c>
      <c r="AO75">
        <v>2025</v>
      </c>
      <c r="AP75">
        <v>3</v>
      </c>
    </row>
    <row r="76" spans="1:42" x14ac:dyDescent="0.25">
      <c r="A76">
        <v>56.02</v>
      </c>
      <c r="B76">
        <v>2262.67</v>
      </c>
      <c r="C76">
        <v>1337.89</v>
      </c>
      <c r="D76">
        <v>28.84</v>
      </c>
      <c r="E76">
        <v>202.51</v>
      </c>
      <c r="F76">
        <v>3887.93</v>
      </c>
      <c r="G76">
        <v>653.85</v>
      </c>
      <c r="H76">
        <v>938.9</v>
      </c>
      <c r="I76">
        <v>167.98</v>
      </c>
      <c r="J76">
        <v>1760.73</v>
      </c>
      <c r="K76">
        <v>5648.66</v>
      </c>
      <c r="L76">
        <v>52.95</v>
      </c>
      <c r="M76">
        <v>2229.7800000000002</v>
      </c>
      <c r="N76">
        <v>0</v>
      </c>
      <c r="O76">
        <v>41.9</v>
      </c>
      <c r="P76">
        <v>2324.63</v>
      </c>
      <c r="Q76">
        <v>0</v>
      </c>
      <c r="R76">
        <v>15.66</v>
      </c>
      <c r="S76">
        <v>106.12</v>
      </c>
      <c r="T76">
        <v>68.22</v>
      </c>
      <c r="U76">
        <v>0</v>
      </c>
      <c r="V76">
        <v>0</v>
      </c>
      <c r="W76">
        <v>1066.06</v>
      </c>
      <c r="X76">
        <v>1256.05</v>
      </c>
      <c r="Y76">
        <v>3.98</v>
      </c>
      <c r="Z76">
        <v>850.27</v>
      </c>
      <c r="AA76">
        <v>895.01</v>
      </c>
      <c r="AB76">
        <v>0</v>
      </c>
      <c r="AC76">
        <v>45.91</v>
      </c>
      <c r="AD76">
        <v>475.62</v>
      </c>
      <c r="AE76">
        <v>11500.12</v>
      </c>
      <c r="AF76">
        <v>20453</v>
      </c>
      <c r="AG76" t="s">
        <v>75</v>
      </c>
      <c r="AH76" t="s">
        <v>76</v>
      </c>
      <c r="AI76" t="s">
        <v>75</v>
      </c>
      <c r="AJ76" t="s">
        <v>76</v>
      </c>
      <c r="AK76">
        <v>11009</v>
      </c>
      <c r="AL76" t="s">
        <v>53</v>
      </c>
      <c r="AM76">
        <v>2</v>
      </c>
      <c r="AN76">
        <v>2</v>
      </c>
      <c r="AO76">
        <v>2025</v>
      </c>
      <c r="AP76">
        <v>4</v>
      </c>
    </row>
    <row r="77" spans="1:42" x14ac:dyDescent="0.25">
      <c r="A77">
        <v>62.27</v>
      </c>
      <c r="B77">
        <v>1182.0899999999999</v>
      </c>
      <c r="C77">
        <v>1009.26</v>
      </c>
      <c r="D77">
        <v>187.9</v>
      </c>
      <c r="F77">
        <v>2441.52</v>
      </c>
      <c r="G77">
        <v>610.71</v>
      </c>
      <c r="H77">
        <v>396.89</v>
      </c>
      <c r="I77">
        <v>189.88</v>
      </c>
      <c r="J77">
        <v>1197.48</v>
      </c>
      <c r="K77">
        <v>3639</v>
      </c>
      <c r="L77">
        <v>403.28</v>
      </c>
      <c r="M77">
        <v>691.15</v>
      </c>
      <c r="O77">
        <v>4.49</v>
      </c>
      <c r="P77">
        <v>1098.92</v>
      </c>
      <c r="Q77">
        <v>58.8</v>
      </c>
      <c r="R77">
        <v>37.25</v>
      </c>
      <c r="S77">
        <v>41.83</v>
      </c>
      <c r="T77">
        <v>1241.18</v>
      </c>
      <c r="V77">
        <v>121.99</v>
      </c>
      <c r="W77">
        <v>298.91000000000003</v>
      </c>
      <c r="X77">
        <v>1799.97</v>
      </c>
      <c r="Y77">
        <v>18.27</v>
      </c>
      <c r="Z77">
        <v>313.07</v>
      </c>
      <c r="AA77">
        <v>4674.29</v>
      </c>
      <c r="AD77">
        <v>1605.14</v>
      </c>
      <c r="AE77">
        <v>13148.65</v>
      </c>
      <c r="AF77">
        <v>20370</v>
      </c>
      <c r="AG77" t="s">
        <v>81</v>
      </c>
      <c r="AH77" t="s">
        <v>82</v>
      </c>
      <c r="AI77" t="s">
        <v>81</v>
      </c>
      <c r="AJ77" t="s">
        <v>82</v>
      </c>
      <c r="AK77">
        <v>6683</v>
      </c>
      <c r="AL77" t="s">
        <v>44</v>
      </c>
      <c r="AM77">
        <v>3</v>
      </c>
      <c r="AN77">
        <v>3</v>
      </c>
      <c r="AO77">
        <v>2025</v>
      </c>
      <c r="AP77">
        <v>1</v>
      </c>
    </row>
    <row r="78" spans="1:42" x14ac:dyDescent="0.25">
      <c r="A78">
        <v>65</v>
      </c>
      <c r="B78">
        <v>2040.19</v>
      </c>
      <c r="C78">
        <v>879.76</v>
      </c>
      <c r="D78">
        <v>137.07</v>
      </c>
      <c r="E78">
        <v>729.97</v>
      </c>
      <c r="F78">
        <v>3851.98</v>
      </c>
      <c r="G78">
        <v>593.98</v>
      </c>
      <c r="H78">
        <v>161.72</v>
      </c>
      <c r="I78">
        <v>289.77</v>
      </c>
      <c r="J78">
        <v>1045.47</v>
      </c>
      <c r="K78">
        <v>4897.45</v>
      </c>
      <c r="L78">
        <v>977.67</v>
      </c>
      <c r="M78">
        <v>3571.88</v>
      </c>
      <c r="P78">
        <v>4549.55</v>
      </c>
      <c r="Q78">
        <v>0</v>
      </c>
      <c r="R78">
        <v>151.13999999999999</v>
      </c>
      <c r="S78">
        <v>383.15</v>
      </c>
      <c r="T78">
        <v>0</v>
      </c>
      <c r="V78">
        <v>0</v>
      </c>
      <c r="W78">
        <v>1.43</v>
      </c>
      <c r="X78">
        <v>535.72</v>
      </c>
      <c r="Y78">
        <v>113.16</v>
      </c>
      <c r="Z78">
        <v>5365.53</v>
      </c>
      <c r="AA78">
        <v>62.85</v>
      </c>
      <c r="AC78">
        <v>2371.83</v>
      </c>
      <c r="AD78">
        <v>0</v>
      </c>
      <c r="AE78">
        <v>17896.07</v>
      </c>
      <c r="AF78">
        <v>20195</v>
      </c>
      <c r="AG78" t="s">
        <v>83</v>
      </c>
      <c r="AH78" t="s">
        <v>84</v>
      </c>
      <c r="AI78" t="s">
        <v>83</v>
      </c>
      <c r="AJ78" t="s">
        <v>84</v>
      </c>
      <c r="AK78">
        <v>16884</v>
      </c>
      <c r="AL78" t="s">
        <v>47</v>
      </c>
      <c r="AM78">
        <v>2</v>
      </c>
      <c r="AN78">
        <v>2</v>
      </c>
      <c r="AO78">
        <v>2025</v>
      </c>
      <c r="AP78">
        <v>3</v>
      </c>
    </row>
    <row r="79" spans="1:42" x14ac:dyDescent="0.25">
      <c r="A79">
        <v>65</v>
      </c>
      <c r="B79">
        <v>2149.3200000000002</v>
      </c>
      <c r="C79">
        <v>1056.6600000000001</v>
      </c>
      <c r="D79">
        <v>71.150000000000006</v>
      </c>
      <c r="E79">
        <v>763.02</v>
      </c>
      <c r="F79">
        <v>4105.1499999999996</v>
      </c>
      <c r="G79">
        <v>385.3</v>
      </c>
      <c r="H79">
        <v>157.91999999999999</v>
      </c>
      <c r="I79">
        <v>260.29000000000002</v>
      </c>
      <c r="J79">
        <v>803.51</v>
      </c>
      <c r="K79">
        <v>4908.66</v>
      </c>
      <c r="L79">
        <v>1918.81</v>
      </c>
      <c r="M79">
        <v>2771.72</v>
      </c>
      <c r="P79">
        <v>4690.53</v>
      </c>
      <c r="Q79">
        <v>0</v>
      </c>
      <c r="R79">
        <v>70.680000000000007</v>
      </c>
      <c r="S79">
        <v>402.97</v>
      </c>
      <c r="T79">
        <v>0</v>
      </c>
      <c r="V79">
        <v>0</v>
      </c>
      <c r="W79">
        <v>11.06</v>
      </c>
      <c r="X79">
        <v>484.71</v>
      </c>
      <c r="Y79">
        <v>126.58</v>
      </c>
      <c r="Z79">
        <v>5641.97</v>
      </c>
      <c r="AA79">
        <v>67.069999999999993</v>
      </c>
      <c r="AC79">
        <v>3925.05</v>
      </c>
      <c r="AD79">
        <v>0</v>
      </c>
      <c r="AE79">
        <v>19844.560000000001</v>
      </c>
      <c r="AF79">
        <v>20195</v>
      </c>
      <c r="AG79" t="s">
        <v>83</v>
      </c>
      <c r="AH79" t="s">
        <v>84</v>
      </c>
      <c r="AI79" t="s">
        <v>83</v>
      </c>
      <c r="AJ79" t="s">
        <v>84</v>
      </c>
      <c r="AK79">
        <v>16884</v>
      </c>
      <c r="AL79" t="s">
        <v>47</v>
      </c>
      <c r="AM79">
        <v>2</v>
      </c>
      <c r="AN79">
        <v>2</v>
      </c>
      <c r="AO79">
        <v>2025</v>
      </c>
      <c r="AP79">
        <v>4</v>
      </c>
    </row>
    <row r="80" spans="1:42" x14ac:dyDescent="0.25">
      <c r="A80">
        <v>73.37</v>
      </c>
      <c r="B80">
        <v>634.22</v>
      </c>
      <c r="C80">
        <v>172.21</v>
      </c>
      <c r="D80">
        <v>0</v>
      </c>
      <c r="E80">
        <v>0</v>
      </c>
      <c r="F80">
        <v>879.8</v>
      </c>
      <c r="G80">
        <v>12.85</v>
      </c>
      <c r="H80">
        <v>124.25</v>
      </c>
      <c r="I80">
        <v>68.599999999999994</v>
      </c>
      <c r="J80">
        <v>205.7</v>
      </c>
      <c r="K80">
        <v>1085.5</v>
      </c>
      <c r="L80">
        <v>1.35</v>
      </c>
      <c r="M80">
        <v>76.45</v>
      </c>
      <c r="N80">
        <v>0</v>
      </c>
      <c r="O80">
        <v>0</v>
      </c>
      <c r="P80">
        <v>77.8</v>
      </c>
      <c r="Q80">
        <v>0</v>
      </c>
      <c r="R80">
        <v>5.62</v>
      </c>
      <c r="S80">
        <v>10.24</v>
      </c>
      <c r="T80">
        <v>265.22000000000003</v>
      </c>
      <c r="U80">
        <v>0</v>
      </c>
      <c r="V80">
        <v>0</v>
      </c>
      <c r="W80">
        <v>89.38</v>
      </c>
      <c r="X80">
        <v>370.45</v>
      </c>
      <c r="Y80">
        <v>0</v>
      </c>
      <c r="Z80">
        <v>27.77</v>
      </c>
      <c r="AA80">
        <v>8.51</v>
      </c>
      <c r="AB80">
        <v>1.42</v>
      </c>
      <c r="AC80">
        <v>181.9</v>
      </c>
      <c r="AD80">
        <v>0</v>
      </c>
      <c r="AE80">
        <v>1753.35</v>
      </c>
      <c r="AF80">
        <v>20363</v>
      </c>
      <c r="AG80" t="s">
        <v>77</v>
      </c>
      <c r="AH80" t="s">
        <v>78</v>
      </c>
      <c r="AI80" t="s">
        <v>77</v>
      </c>
      <c r="AJ80" t="s">
        <v>78</v>
      </c>
      <c r="AK80">
        <v>11027</v>
      </c>
      <c r="AL80" t="s">
        <v>50</v>
      </c>
      <c r="AM80">
        <v>2</v>
      </c>
      <c r="AN80">
        <v>2</v>
      </c>
      <c r="AO80">
        <v>2025</v>
      </c>
      <c r="AP80">
        <v>2</v>
      </c>
    </row>
    <row r="81" spans="1:42" x14ac:dyDescent="0.25">
      <c r="A81">
        <v>73.959999999999994</v>
      </c>
      <c r="B81">
        <v>1158.3399999999999</v>
      </c>
      <c r="C81">
        <v>1033.98</v>
      </c>
      <c r="D81">
        <v>199.35</v>
      </c>
      <c r="F81">
        <v>2465.63</v>
      </c>
      <c r="G81">
        <v>699.35</v>
      </c>
      <c r="H81">
        <v>522.35</v>
      </c>
      <c r="I81">
        <v>158.74</v>
      </c>
      <c r="J81">
        <v>1380.44</v>
      </c>
      <c r="K81">
        <v>3846.07</v>
      </c>
      <c r="L81">
        <v>1152.7</v>
      </c>
      <c r="M81">
        <v>573.17999999999995</v>
      </c>
      <c r="O81">
        <v>2.62</v>
      </c>
      <c r="P81">
        <v>1728.5</v>
      </c>
      <c r="Q81">
        <v>58.82</v>
      </c>
      <c r="R81">
        <v>40.53</v>
      </c>
      <c r="S81">
        <v>42.34</v>
      </c>
      <c r="T81">
        <v>1033.97</v>
      </c>
      <c r="V81">
        <v>157.76</v>
      </c>
      <c r="W81">
        <v>422.63</v>
      </c>
      <c r="X81">
        <v>1756.05</v>
      </c>
      <c r="Y81">
        <v>57.05</v>
      </c>
      <c r="Z81">
        <v>356.16</v>
      </c>
      <c r="AA81">
        <v>4542.8599999999997</v>
      </c>
      <c r="AD81">
        <v>850.09</v>
      </c>
      <c r="AE81">
        <v>13136.78</v>
      </c>
      <c r="AF81">
        <v>20370</v>
      </c>
      <c r="AG81" t="s">
        <v>81</v>
      </c>
      <c r="AH81" t="s">
        <v>82</v>
      </c>
      <c r="AI81" t="s">
        <v>81</v>
      </c>
      <c r="AJ81" t="s">
        <v>82</v>
      </c>
      <c r="AK81">
        <v>6683</v>
      </c>
      <c r="AL81" t="s">
        <v>44</v>
      </c>
      <c r="AM81">
        <v>3</v>
      </c>
      <c r="AN81">
        <v>3</v>
      </c>
      <c r="AO81">
        <v>2025</v>
      </c>
      <c r="AP81">
        <v>3</v>
      </c>
    </row>
    <row r="82" spans="1:42" x14ac:dyDescent="0.25">
      <c r="A82">
        <v>78.48</v>
      </c>
      <c r="B82">
        <v>10686.68</v>
      </c>
      <c r="C82">
        <v>2077.4499999999998</v>
      </c>
      <c r="D82">
        <v>499</v>
      </c>
      <c r="E82">
        <v>163.38999999999999</v>
      </c>
      <c r="F82">
        <v>13505</v>
      </c>
      <c r="G82">
        <v>1913.04</v>
      </c>
      <c r="H82">
        <v>6639.44</v>
      </c>
      <c r="I82">
        <v>1092.8399999999999</v>
      </c>
      <c r="J82">
        <v>9645.33</v>
      </c>
      <c r="K82">
        <v>23150.32</v>
      </c>
      <c r="L82">
        <v>-9.1300000000000008</v>
      </c>
      <c r="M82">
        <v>5132.2700000000004</v>
      </c>
      <c r="N82">
        <v>0</v>
      </c>
      <c r="O82">
        <v>6.39</v>
      </c>
      <c r="P82">
        <v>5129.53</v>
      </c>
      <c r="Q82">
        <v>3.23</v>
      </c>
      <c r="R82">
        <v>62.96</v>
      </c>
      <c r="S82">
        <v>377.36</v>
      </c>
      <c r="T82">
        <v>9191.86</v>
      </c>
      <c r="U82">
        <v>0</v>
      </c>
      <c r="V82">
        <v>0</v>
      </c>
      <c r="W82">
        <v>1497.99</v>
      </c>
      <c r="X82">
        <v>11133.39</v>
      </c>
      <c r="Y82">
        <v>0</v>
      </c>
      <c r="Z82">
        <v>920.15</v>
      </c>
      <c r="AA82">
        <v>489.48</v>
      </c>
      <c r="AB82">
        <v>0</v>
      </c>
      <c r="AC82">
        <v>611.05999999999995</v>
      </c>
      <c r="AD82">
        <v>0</v>
      </c>
      <c r="AE82">
        <v>41433.93</v>
      </c>
      <c r="AF82">
        <v>20378</v>
      </c>
      <c r="AG82" t="s">
        <v>67</v>
      </c>
      <c r="AH82" t="s">
        <v>68</v>
      </c>
      <c r="AI82" t="s">
        <v>67</v>
      </c>
      <c r="AJ82" t="s">
        <v>68</v>
      </c>
      <c r="AK82">
        <v>6689</v>
      </c>
      <c r="AL82" t="s">
        <v>44</v>
      </c>
      <c r="AM82">
        <v>2</v>
      </c>
      <c r="AN82">
        <v>2</v>
      </c>
      <c r="AO82">
        <v>2025</v>
      </c>
      <c r="AP82">
        <v>4</v>
      </c>
    </row>
    <row r="83" spans="1:42" x14ac:dyDescent="0.25">
      <c r="A83">
        <v>82.45</v>
      </c>
      <c r="B83">
        <v>1220.74</v>
      </c>
      <c r="C83">
        <v>1069.6400000000001</v>
      </c>
      <c r="D83">
        <v>209.73</v>
      </c>
      <c r="F83">
        <v>2582.56</v>
      </c>
      <c r="G83">
        <v>678.31</v>
      </c>
      <c r="H83">
        <v>470.88</v>
      </c>
      <c r="I83">
        <v>178.71</v>
      </c>
      <c r="J83">
        <v>1327.9</v>
      </c>
      <c r="K83">
        <v>3910.46</v>
      </c>
      <c r="L83">
        <v>213.41</v>
      </c>
      <c r="M83">
        <v>437.45</v>
      </c>
      <c r="O83">
        <v>3.69</v>
      </c>
      <c r="P83">
        <v>654.54999999999995</v>
      </c>
      <c r="Q83">
        <v>64.61</v>
      </c>
      <c r="R83">
        <v>46.27</v>
      </c>
      <c r="S83">
        <v>45.41</v>
      </c>
      <c r="T83">
        <v>1427.31</v>
      </c>
      <c r="V83">
        <v>140.25</v>
      </c>
      <c r="W83">
        <v>180.7</v>
      </c>
      <c r="X83">
        <v>1904.55</v>
      </c>
      <c r="Y83">
        <v>11.32</v>
      </c>
      <c r="Z83">
        <v>373.48</v>
      </c>
      <c r="AA83">
        <v>4702.08</v>
      </c>
      <c r="AD83">
        <v>1042.23</v>
      </c>
      <c r="AE83">
        <v>12598.66</v>
      </c>
      <c r="AF83">
        <v>20370</v>
      </c>
      <c r="AG83" t="s">
        <v>81</v>
      </c>
      <c r="AH83" t="s">
        <v>82</v>
      </c>
      <c r="AI83" t="s">
        <v>81</v>
      </c>
      <c r="AJ83" t="s">
        <v>82</v>
      </c>
      <c r="AK83">
        <v>6683</v>
      </c>
      <c r="AL83" t="s">
        <v>44</v>
      </c>
      <c r="AM83">
        <v>3</v>
      </c>
      <c r="AN83">
        <v>3</v>
      </c>
      <c r="AO83">
        <v>2025</v>
      </c>
      <c r="AP83">
        <v>2</v>
      </c>
    </row>
    <row r="84" spans="1:42" x14ac:dyDescent="0.25">
      <c r="A84">
        <v>89.13</v>
      </c>
      <c r="B84">
        <v>1950.45</v>
      </c>
      <c r="C84">
        <v>1552.4</v>
      </c>
      <c r="D84">
        <v>156.18</v>
      </c>
      <c r="E84">
        <v>118.76</v>
      </c>
      <c r="F84">
        <v>3866.92</v>
      </c>
      <c r="G84">
        <v>1969.05</v>
      </c>
      <c r="H84">
        <v>549.80999999999995</v>
      </c>
      <c r="I84">
        <v>305.77999999999997</v>
      </c>
      <c r="J84">
        <v>2824.64</v>
      </c>
      <c r="K84">
        <v>6691.56</v>
      </c>
      <c r="L84">
        <v>6219.96</v>
      </c>
      <c r="M84">
        <v>3049.14</v>
      </c>
      <c r="N84">
        <v>472.11</v>
      </c>
      <c r="O84">
        <v>697.59</v>
      </c>
      <c r="P84">
        <v>10438.799999999999</v>
      </c>
      <c r="Q84">
        <v>0</v>
      </c>
      <c r="R84">
        <v>44.26</v>
      </c>
      <c r="S84">
        <v>161.85</v>
      </c>
      <c r="T84">
        <v>1155.0899999999999</v>
      </c>
      <c r="U84">
        <v>0</v>
      </c>
      <c r="V84">
        <v>0</v>
      </c>
      <c r="W84">
        <v>1117.29</v>
      </c>
      <c r="X84">
        <v>2478.48</v>
      </c>
      <c r="Y84">
        <v>141.29</v>
      </c>
      <c r="Z84">
        <v>4951.2700000000004</v>
      </c>
      <c r="AA84">
        <v>509.78</v>
      </c>
      <c r="AB84">
        <v>0</v>
      </c>
      <c r="AC84">
        <v>0</v>
      </c>
      <c r="AD84">
        <v>0</v>
      </c>
      <c r="AE84">
        <v>25211.18</v>
      </c>
      <c r="AF84">
        <v>19874</v>
      </c>
      <c r="AG84" t="s">
        <v>85</v>
      </c>
      <c r="AH84" t="s">
        <v>86</v>
      </c>
      <c r="AI84" t="s">
        <v>85</v>
      </c>
      <c r="AJ84" t="s">
        <v>86</v>
      </c>
      <c r="AK84">
        <v>16028</v>
      </c>
      <c r="AL84" t="s">
        <v>53</v>
      </c>
      <c r="AM84">
        <v>2</v>
      </c>
      <c r="AN84">
        <v>2</v>
      </c>
      <c r="AO84">
        <v>2025</v>
      </c>
      <c r="AP84">
        <v>1</v>
      </c>
    </row>
    <row r="85" spans="1:42" x14ac:dyDescent="0.25">
      <c r="A85">
        <v>90.9</v>
      </c>
      <c r="B85">
        <v>2355.09</v>
      </c>
      <c r="C85">
        <v>2340.6799999999998</v>
      </c>
      <c r="D85">
        <v>127.8</v>
      </c>
      <c r="E85">
        <v>109.11</v>
      </c>
      <c r="F85">
        <v>5023.57</v>
      </c>
      <c r="G85">
        <v>2306.35</v>
      </c>
      <c r="H85">
        <v>650.38</v>
      </c>
      <c r="I85">
        <v>220.83</v>
      </c>
      <c r="J85">
        <v>3177.56</v>
      </c>
      <c r="K85">
        <v>8201.1299999999992</v>
      </c>
      <c r="L85">
        <v>4622.6000000000004</v>
      </c>
      <c r="M85">
        <v>3699.61</v>
      </c>
      <c r="N85">
        <v>613.08000000000004</v>
      </c>
      <c r="O85">
        <v>728.31</v>
      </c>
      <c r="P85">
        <v>9663.6</v>
      </c>
      <c r="Q85">
        <v>0</v>
      </c>
      <c r="R85">
        <v>68.45</v>
      </c>
      <c r="S85">
        <v>159.76</v>
      </c>
      <c r="T85">
        <v>349.86</v>
      </c>
      <c r="U85">
        <v>0</v>
      </c>
      <c r="V85">
        <v>0</v>
      </c>
      <c r="W85">
        <v>786.7</v>
      </c>
      <c r="X85">
        <v>1364.78</v>
      </c>
      <c r="Y85">
        <v>172.99</v>
      </c>
      <c r="Z85">
        <v>5206.53</v>
      </c>
      <c r="AA85">
        <v>1471.52</v>
      </c>
      <c r="AB85">
        <v>0</v>
      </c>
      <c r="AC85">
        <v>0</v>
      </c>
      <c r="AD85">
        <v>0</v>
      </c>
      <c r="AE85">
        <v>26080.55</v>
      </c>
      <c r="AF85">
        <v>19874</v>
      </c>
      <c r="AG85" t="s">
        <v>85</v>
      </c>
      <c r="AH85" t="s">
        <v>86</v>
      </c>
      <c r="AI85" t="s">
        <v>85</v>
      </c>
      <c r="AJ85" t="s">
        <v>86</v>
      </c>
      <c r="AK85">
        <v>16028</v>
      </c>
      <c r="AL85" t="s">
        <v>53</v>
      </c>
      <c r="AM85">
        <v>2</v>
      </c>
      <c r="AN85">
        <v>2</v>
      </c>
      <c r="AO85">
        <v>2025</v>
      </c>
      <c r="AP85">
        <v>4</v>
      </c>
    </row>
    <row r="86" spans="1:42" x14ac:dyDescent="0.25">
      <c r="A86">
        <v>99.84</v>
      </c>
      <c r="B86">
        <v>1962.22</v>
      </c>
      <c r="C86">
        <v>2336.6</v>
      </c>
      <c r="D86">
        <v>160.96</v>
      </c>
      <c r="E86">
        <v>126.71</v>
      </c>
      <c r="F86">
        <v>4686.33</v>
      </c>
      <c r="G86">
        <v>1806.35</v>
      </c>
      <c r="H86">
        <v>594.44000000000005</v>
      </c>
      <c r="I86">
        <v>245.81</v>
      </c>
      <c r="J86">
        <v>2646.6</v>
      </c>
      <c r="K86">
        <v>7332.93</v>
      </c>
      <c r="L86">
        <v>6476.28</v>
      </c>
      <c r="M86">
        <v>3240.66</v>
      </c>
      <c r="N86">
        <v>509.43</v>
      </c>
      <c r="O86">
        <v>743.39</v>
      </c>
      <c r="P86">
        <v>10969.76</v>
      </c>
      <c r="Q86">
        <v>0</v>
      </c>
      <c r="R86">
        <v>37.85</v>
      </c>
      <c r="S86">
        <v>148.76</v>
      </c>
      <c r="T86">
        <v>528.23</v>
      </c>
      <c r="U86">
        <v>0</v>
      </c>
      <c r="V86">
        <v>0</v>
      </c>
      <c r="W86">
        <v>922.09</v>
      </c>
      <c r="X86">
        <v>1636.93</v>
      </c>
      <c r="Y86">
        <v>120.85</v>
      </c>
      <c r="Z86">
        <v>4775.96</v>
      </c>
      <c r="AA86">
        <v>1104.78</v>
      </c>
      <c r="AB86">
        <v>0</v>
      </c>
      <c r="AC86">
        <v>0</v>
      </c>
      <c r="AD86">
        <v>0</v>
      </c>
      <c r="AE86">
        <v>25941.200000000001</v>
      </c>
      <c r="AF86">
        <v>19874</v>
      </c>
      <c r="AG86" t="s">
        <v>85</v>
      </c>
      <c r="AH86" t="s">
        <v>86</v>
      </c>
      <c r="AI86" t="s">
        <v>85</v>
      </c>
      <c r="AJ86" t="s">
        <v>86</v>
      </c>
      <c r="AK86">
        <v>16028</v>
      </c>
      <c r="AL86" t="s">
        <v>53</v>
      </c>
      <c r="AM86">
        <v>2</v>
      </c>
      <c r="AN86">
        <v>2</v>
      </c>
      <c r="AO86">
        <v>2025</v>
      </c>
      <c r="AP86">
        <v>3</v>
      </c>
    </row>
    <row r="87" spans="1:42" x14ac:dyDescent="0.25">
      <c r="A87">
        <v>103.64</v>
      </c>
      <c r="B87">
        <v>1944.76</v>
      </c>
      <c r="C87">
        <v>1648.72</v>
      </c>
      <c r="D87">
        <v>175.5</v>
      </c>
      <c r="E87">
        <v>129.38999999999999</v>
      </c>
      <c r="F87">
        <v>4002.01</v>
      </c>
      <c r="G87">
        <v>1919.06</v>
      </c>
      <c r="H87">
        <v>709.19</v>
      </c>
      <c r="I87">
        <v>249.85</v>
      </c>
      <c r="J87">
        <v>2878.1</v>
      </c>
      <c r="K87">
        <v>6880.1</v>
      </c>
      <c r="L87">
        <v>6200.39</v>
      </c>
      <c r="M87">
        <v>2108.96</v>
      </c>
      <c r="N87">
        <v>535.11</v>
      </c>
      <c r="O87">
        <v>734.62</v>
      </c>
      <c r="P87">
        <v>9579.08</v>
      </c>
      <c r="Q87">
        <v>0</v>
      </c>
      <c r="R87">
        <v>67.27</v>
      </c>
      <c r="S87">
        <v>156.63</v>
      </c>
      <c r="T87">
        <v>1548.44</v>
      </c>
      <c r="U87">
        <v>0</v>
      </c>
      <c r="V87">
        <v>0</v>
      </c>
      <c r="W87">
        <v>1316.61</v>
      </c>
      <c r="X87">
        <v>3088.94</v>
      </c>
      <c r="Y87">
        <v>95.03</v>
      </c>
      <c r="Z87">
        <v>4813.67</v>
      </c>
      <c r="AA87">
        <v>987.2</v>
      </c>
      <c r="AB87">
        <v>0</v>
      </c>
      <c r="AC87">
        <v>0</v>
      </c>
      <c r="AD87">
        <v>0</v>
      </c>
      <c r="AE87">
        <v>25444.02</v>
      </c>
      <c r="AF87">
        <v>19874</v>
      </c>
      <c r="AG87" t="s">
        <v>85</v>
      </c>
      <c r="AH87" t="s">
        <v>86</v>
      </c>
      <c r="AI87" t="s">
        <v>85</v>
      </c>
      <c r="AJ87" t="s">
        <v>86</v>
      </c>
      <c r="AK87">
        <v>16028</v>
      </c>
      <c r="AL87" t="s">
        <v>53</v>
      </c>
      <c r="AM87">
        <v>2</v>
      </c>
      <c r="AN87">
        <v>2</v>
      </c>
      <c r="AO87">
        <v>2025</v>
      </c>
      <c r="AP87">
        <v>2</v>
      </c>
    </row>
    <row r="88" spans="1:42" x14ac:dyDescent="0.25">
      <c r="A88">
        <v>110.36</v>
      </c>
      <c r="B88">
        <v>556.49</v>
      </c>
      <c r="C88">
        <v>177.42</v>
      </c>
      <c r="D88">
        <v>48.25</v>
      </c>
      <c r="E88">
        <v>148.05000000000001</v>
      </c>
      <c r="F88">
        <v>1040.57</v>
      </c>
      <c r="G88">
        <v>143.59</v>
      </c>
      <c r="H88">
        <v>92.01</v>
      </c>
      <c r="I88">
        <v>54.1</v>
      </c>
      <c r="J88">
        <v>289.7</v>
      </c>
      <c r="K88">
        <v>1330.27</v>
      </c>
      <c r="L88">
        <v>2.83</v>
      </c>
      <c r="M88">
        <v>403.51</v>
      </c>
      <c r="N88">
        <v>0</v>
      </c>
      <c r="O88">
        <v>26.09</v>
      </c>
      <c r="P88">
        <v>432.43</v>
      </c>
      <c r="Q88">
        <v>0.8</v>
      </c>
      <c r="R88">
        <v>0.04</v>
      </c>
      <c r="S88">
        <v>31.07</v>
      </c>
      <c r="T88">
        <v>201.37</v>
      </c>
      <c r="U88">
        <v>0</v>
      </c>
      <c r="V88">
        <v>0</v>
      </c>
      <c r="W88">
        <v>65.209999999999994</v>
      </c>
      <c r="X88">
        <v>298.48</v>
      </c>
      <c r="Y88">
        <v>0</v>
      </c>
      <c r="Z88">
        <v>19.420000000000002</v>
      </c>
      <c r="AA88">
        <v>23.75</v>
      </c>
      <c r="AB88">
        <v>0</v>
      </c>
      <c r="AC88">
        <v>28.19</v>
      </c>
      <c r="AD88">
        <v>0</v>
      </c>
      <c r="AE88">
        <v>2132.54</v>
      </c>
      <c r="AF88">
        <v>20445</v>
      </c>
      <c r="AG88" t="s">
        <v>73</v>
      </c>
      <c r="AH88" t="s">
        <v>74</v>
      </c>
      <c r="AI88" t="s">
        <v>73</v>
      </c>
      <c r="AJ88" t="s">
        <v>74</v>
      </c>
      <c r="AK88">
        <v>11059</v>
      </c>
      <c r="AL88" t="s">
        <v>50</v>
      </c>
      <c r="AM88">
        <v>2</v>
      </c>
      <c r="AN88">
        <v>2</v>
      </c>
      <c r="AO88">
        <v>2025</v>
      </c>
      <c r="AP88">
        <v>4</v>
      </c>
    </row>
    <row r="89" spans="1:42" x14ac:dyDescent="0.25">
      <c r="A89">
        <v>123.61</v>
      </c>
      <c r="B89">
        <v>901.2</v>
      </c>
      <c r="C89">
        <v>260.74</v>
      </c>
      <c r="D89">
        <v>0</v>
      </c>
      <c r="E89">
        <v>0</v>
      </c>
      <c r="F89">
        <v>1285.56</v>
      </c>
      <c r="G89">
        <v>18.43</v>
      </c>
      <c r="H89">
        <v>171.33</v>
      </c>
      <c r="I89">
        <v>111.65</v>
      </c>
      <c r="J89">
        <v>301.41000000000003</v>
      </c>
      <c r="K89">
        <v>1586.96</v>
      </c>
      <c r="L89">
        <v>1.27</v>
      </c>
      <c r="M89">
        <v>83.97</v>
      </c>
      <c r="N89">
        <v>0</v>
      </c>
      <c r="O89">
        <v>0</v>
      </c>
      <c r="P89">
        <v>85.25</v>
      </c>
      <c r="Q89">
        <v>0</v>
      </c>
      <c r="R89">
        <v>6.56</v>
      </c>
      <c r="S89">
        <v>10.7</v>
      </c>
      <c r="T89">
        <v>423.01</v>
      </c>
      <c r="U89">
        <v>0</v>
      </c>
      <c r="V89">
        <v>0</v>
      </c>
      <c r="W89">
        <v>143.93</v>
      </c>
      <c r="X89">
        <v>584.21</v>
      </c>
      <c r="Y89">
        <v>0</v>
      </c>
      <c r="Z89">
        <v>42.25</v>
      </c>
      <c r="AA89">
        <v>12.54</v>
      </c>
      <c r="AB89">
        <v>2.57</v>
      </c>
      <c r="AC89">
        <v>237.02</v>
      </c>
      <c r="AD89">
        <v>0</v>
      </c>
      <c r="AE89">
        <v>2550.8000000000002</v>
      </c>
      <c r="AF89">
        <v>20363</v>
      </c>
      <c r="AG89" t="s">
        <v>77</v>
      </c>
      <c r="AH89" t="s">
        <v>78</v>
      </c>
      <c r="AI89" t="s">
        <v>77</v>
      </c>
      <c r="AJ89" t="s">
        <v>78</v>
      </c>
      <c r="AK89">
        <v>11027</v>
      </c>
      <c r="AL89" t="s">
        <v>50</v>
      </c>
      <c r="AM89">
        <v>2</v>
      </c>
      <c r="AN89">
        <v>2</v>
      </c>
      <c r="AO89">
        <v>2025</v>
      </c>
      <c r="AP89">
        <v>1</v>
      </c>
    </row>
    <row r="90" spans="1:42" x14ac:dyDescent="0.25">
      <c r="A90">
        <v>132.63999999999999</v>
      </c>
      <c r="B90">
        <v>448.19</v>
      </c>
      <c r="C90">
        <v>509.12</v>
      </c>
      <c r="D90">
        <v>246.31</v>
      </c>
      <c r="E90">
        <v>88.74</v>
      </c>
      <c r="F90">
        <v>1425</v>
      </c>
      <c r="G90">
        <v>0</v>
      </c>
      <c r="H90">
        <v>237.37</v>
      </c>
      <c r="I90">
        <v>120.15</v>
      </c>
      <c r="J90">
        <v>357.52</v>
      </c>
      <c r="K90">
        <v>1782.52</v>
      </c>
      <c r="L90">
        <v>1319.39</v>
      </c>
      <c r="M90">
        <v>121.66</v>
      </c>
      <c r="N90">
        <v>0</v>
      </c>
      <c r="O90">
        <v>0</v>
      </c>
      <c r="P90">
        <v>1441.05</v>
      </c>
      <c r="Q90">
        <v>-0.27</v>
      </c>
      <c r="R90">
        <v>0</v>
      </c>
      <c r="S90">
        <v>177.5</v>
      </c>
      <c r="T90">
        <v>61.41</v>
      </c>
      <c r="U90">
        <v>0</v>
      </c>
      <c r="W90">
        <v>293.63</v>
      </c>
      <c r="X90">
        <v>532.27</v>
      </c>
      <c r="Y90">
        <v>0</v>
      </c>
      <c r="Z90">
        <v>66.59</v>
      </c>
      <c r="AA90">
        <v>1682.53</v>
      </c>
      <c r="AB90">
        <v>0</v>
      </c>
      <c r="AC90">
        <v>847.09</v>
      </c>
      <c r="AD90">
        <v>0</v>
      </c>
      <c r="AE90">
        <v>6352.05</v>
      </c>
      <c r="AF90">
        <v>20447</v>
      </c>
      <c r="AG90" t="s">
        <v>87</v>
      </c>
      <c r="AH90" t="s">
        <v>88</v>
      </c>
      <c r="AI90" t="s">
        <v>87</v>
      </c>
      <c r="AJ90" t="s">
        <v>88</v>
      </c>
      <c r="AK90">
        <v>16917</v>
      </c>
      <c r="AL90" t="s">
        <v>47</v>
      </c>
      <c r="AM90">
        <v>1</v>
      </c>
      <c r="AN90">
        <v>1</v>
      </c>
      <c r="AO90">
        <v>2025</v>
      </c>
      <c r="AP90">
        <v>2</v>
      </c>
    </row>
    <row r="91" spans="1:42" x14ac:dyDescent="0.25">
      <c r="A91">
        <v>133.99</v>
      </c>
      <c r="B91">
        <v>1915.7</v>
      </c>
      <c r="C91">
        <v>941.57</v>
      </c>
      <c r="D91">
        <v>271.36</v>
      </c>
      <c r="E91">
        <v>787.72</v>
      </c>
      <c r="F91">
        <v>4050.34</v>
      </c>
      <c r="G91">
        <v>467.6</v>
      </c>
      <c r="H91">
        <v>194.14</v>
      </c>
      <c r="I91">
        <v>338.49</v>
      </c>
      <c r="J91">
        <v>1000.23</v>
      </c>
      <c r="K91">
        <v>5050.57</v>
      </c>
      <c r="L91">
        <v>10580.7</v>
      </c>
      <c r="M91">
        <v>5079.8100000000004</v>
      </c>
      <c r="P91">
        <v>15660.51</v>
      </c>
      <c r="Q91">
        <v>0</v>
      </c>
      <c r="R91">
        <v>145.88999999999999</v>
      </c>
      <c r="S91">
        <v>405.68</v>
      </c>
      <c r="T91">
        <v>0</v>
      </c>
      <c r="V91">
        <v>0</v>
      </c>
      <c r="W91">
        <v>46.9</v>
      </c>
      <c r="X91">
        <v>598.47</v>
      </c>
      <c r="Y91">
        <v>514.97</v>
      </c>
      <c r="Z91">
        <v>3876.76</v>
      </c>
      <c r="AA91">
        <v>73.150000000000006</v>
      </c>
      <c r="AC91">
        <v>3995.72</v>
      </c>
      <c r="AD91">
        <v>0</v>
      </c>
      <c r="AE91">
        <v>29770.15</v>
      </c>
      <c r="AF91">
        <v>20195</v>
      </c>
      <c r="AG91" t="s">
        <v>83</v>
      </c>
      <c r="AH91" t="s">
        <v>84</v>
      </c>
      <c r="AI91" t="s">
        <v>83</v>
      </c>
      <c r="AJ91" t="s">
        <v>84</v>
      </c>
      <c r="AK91">
        <v>16884</v>
      </c>
      <c r="AL91" t="s">
        <v>47</v>
      </c>
      <c r="AM91">
        <v>2</v>
      </c>
      <c r="AN91">
        <v>2</v>
      </c>
      <c r="AO91">
        <v>2025</v>
      </c>
      <c r="AP91">
        <v>2</v>
      </c>
    </row>
    <row r="92" spans="1:42" x14ac:dyDescent="0.25">
      <c r="A92">
        <v>134.07</v>
      </c>
      <c r="B92">
        <v>1116.48</v>
      </c>
      <c r="C92">
        <v>108.03</v>
      </c>
      <c r="D92">
        <v>80.38</v>
      </c>
      <c r="E92">
        <v>97.85</v>
      </c>
      <c r="F92">
        <v>1536.81</v>
      </c>
      <c r="G92">
        <v>92.17</v>
      </c>
      <c r="H92">
        <v>77.650000000000006</v>
      </c>
      <c r="I92">
        <v>110.7</v>
      </c>
      <c r="J92">
        <v>280.52</v>
      </c>
      <c r="K92">
        <v>1817.33</v>
      </c>
      <c r="L92">
        <v>348.99</v>
      </c>
      <c r="M92">
        <v>28.19</v>
      </c>
      <c r="N92">
        <v>0</v>
      </c>
      <c r="O92">
        <v>72</v>
      </c>
      <c r="P92">
        <v>449.18</v>
      </c>
      <c r="Q92">
        <v>0</v>
      </c>
      <c r="R92">
        <v>2.77</v>
      </c>
      <c r="S92">
        <v>10.47</v>
      </c>
      <c r="T92">
        <v>13.07</v>
      </c>
      <c r="U92">
        <v>0</v>
      </c>
      <c r="V92">
        <v>0</v>
      </c>
      <c r="W92">
        <v>1.01</v>
      </c>
      <c r="X92">
        <v>27.32</v>
      </c>
      <c r="Y92">
        <v>36.18</v>
      </c>
      <c r="Z92">
        <v>426.54</v>
      </c>
      <c r="AA92">
        <v>89.57</v>
      </c>
      <c r="AB92">
        <v>0</v>
      </c>
      <c r="AC92">
        <v>284.43</v>
      </c>
      <c r="AD92">
        <v>0</v>
      </c>
      <c r="AE92">
        <v>3130.55</v>
      </c>
      <c r="AF92">
        <v>20166</v>
      </c>
      <c r="AG92" t="s">
        <v>89</v>
      </c>
      <c r="AH92" t="s">
        <v>90</v>
      </c>
      <c r="AI92" t="s">
        <v>89</v>
      </c>
      <c r="AJ92" t="s">
        <v>90</v>
      </c>
      <c r="AK92">
        <v>6565</v>
      </c>
      <c r="AL92" t="s">
        <v>44</v>
      </c>
      <c r="AM92">
        <v>1</v>
      </c>
      <c r="AN92">
        <v>1</v>
      </c>
      <c r="AO92">
        <v>2025</v>
      </c>
      <c r="AP92">
        <v>2</v>
      </c>
    </row>
    <row r="93" spans="1:42" x14ac:dyDescent="0.25">
      <c r="A93">
        <v>139.58000000000001</v>
      </c>
      <c r="B93">
        <v>735.21</v>
      </c>
      <c r="C93">
        <v>388.12</v>
      </c>
      <c r="D93">
        <v>117.84</v>
      </c>
      <c r="E93">
        <v>0</v>
      </c>
      <c r="F93">
        <v>1380.74</v>
      </c>
      <c r="G93">
        <v>503.45</v>
      </c>
      <c r="H93">
        <v>172.76</v>
      </c>
      <c r="I93">
        <v>96.12</v>
      </c>
      <c r="J93">
        <v>772.33</v>
      </c>
      <c r="K93">
        <v>2153.0700000000002</v>
      </c>
      <c r="L93">
        <v>1424.03</v>
      </c>
      <c r="M93">
        <v>121.66</v>
      </c>
      <c r="N93">
        <v>143.87</v>
      </c>
      <c r="O93">
        <v>149.97999999999999</v>
      </c>
      <c r="P93">
        <v>1839.54</v>
      </c>
      <c r="Q93">
        <v>0</v>
      </c>
      <c r="R93">
        <v>7.17</v>
      </c>
      <c r="S93">
        <v>123.42</v>
      </c>
      <c r="T93">
        <v>527.88</v>
      </c>
      <c r="U93">
        <v>53.93</v>
      </c>
      <c r="V93">
        <v>0</v>
      </c>
      <c r="W93">
        <v>726.15</v>
      </c>
      <c r="X93">
        <v>1438.55</v>
      </c>
      <c r="Y93">
        <v>6.51</v>
      </c>
      <c r="Z93">
        <v>85.54</v>
      </c>
      <c r="AA93">
        <v>927.13</v>
      </c>
      <c r="AB93">
        <v>46.12</v>
      </c>
      <c r="AC93">
        <v>59.83</v>
      </c>
      <c r="AD93">
        <v>0</v>
      </c>
      <c r="AE93">
        <v>6556.29</v>
      </c>
      <c r="AF93">
        <v>21492</v>
      </c>
      <c r="AG93" t="s">
        <v>91</v>
      </c>
      <c r="AH93" t="s">
        <v>92</v>
      </c>
      <c r="AI93" t="s">
        <v>91</v>
      </c>
      <c r="AJ93" t="s">
        <v>92</v>
      </c>
      <c r="AK93">
        <v>1159</v>
      </c>
      <c r="AL93" t="s">
        <v>44</v>
      </c>
      <c r="AM93">
        <v>1</v>
      </c>
      <c r="AN93">
        <v>1</v>
      </c>
      <c r="AO93">
        <v>2025</v>
      </c>
      <c r="AP93">
        <v>2</v>
      </c>
    </row>
    <row r="94" spans="1:42" x14ac:dyDescent="0.25">
      <c r="A94">
        <v>143.1</v>
      </c>
      <c r="B94">
        <v>1012.15</v>
      </c>
      <c r="C94">
        <v>161.62</v>
      </c>
      <c r="D94">
        <v>339.63</v>
      </c>
      <c r="E94">
        <v>110.68</v>
      </c>
      <c r="F94">
        <v>1767.19</v>
      </c>
      <c r="G94">
        <v>209.07</v>
      </c>
      <c r="H94">
        <v>373.8</v>
      </c>
      <c r="I94">
        <v>93.42</v>
      </c>
      <c r="J94">
        <v>676.29</v>
      </c>
      <c r="K94">
        <v>2443.48</v>
      </c>
      <c r="L94">
        <v>1350.17</v>
      </c>
      <c r="M94">
        <v>42.69</v>
      </c>
      <c r="N94">
        <v>54.8</v>
      </c>
      <c r="O94">
        <v>24.12</v>
      </c>
      <c r="P94">
        <v>1471.77</v>
      </c>
      <c r="Q94">
        <v>27.53</v>
      </c>
      <c r="R94">
        <v>115.69</v>
      </c>
      <c r="S94">
        <v>39.200000000000003</v>
      </c>
      <c r="T94">
        <v>118.56</v>
      </c>
      <c r="U94">
        <v>16.5</v>
      </c>
      <c r="V94">
        <v>0</v>
      </c>
      <c r="W94">
        <v>950.35</v>
      </c>
      <c r="X94">
        <v>1267.82</v>
      </c>
      <c r="Y94">
        <v>83.49</v>
      </c>
      <c r="Z94">
        <v>224.37</v>
      </c>
      <c r="AA94">
        <v>1220.95</v>
      </c>
      <c r="AB94">
        <v>735.8</v>
      </c>
      <c r="AC94">
        <v>82.03</v>
      </c>
      <c r="AD94">
        <v>1.54</v>
      </c>
      <c r="AE94">
        <v>7531.25</v>
      </c>
      <c r="AF94">
        <v>20422</v>
      </c>
      <c r="AG94" t="s">
        <v>93</v>
      </c>
      <c r="AH94" t="s">
        <v>94</v>
      </c>
      <c r="AI94" t="s">
        <v>93</v>
      </c>
      <c r="AJ94" t="s">
        <v>94</v>
      </c>
      <c r="AK94">
        <v>16795</v>
      </c>
      <c r="AL94" t="s">
        <v>50</v>
      </c>
      <c r="AM94">
        <v>3</v>
      </c>
      <c r="AN94">
        <v>3</v>
      </c>
      <c r="AO94">
        <v>2025</v>
      </c>
      <c r="AP94">
        <v>3</v>
      </c>
    </row>
    <row r="95" spans="1:42" x14ac:dyDescent="0.25">
      <c r="A95">
        <v>145.66999999999999</v>
      </c>
      <c r="B95">
        <v>0</v>
      </c>
      <c r="C95">
        <v>17.010000000000002</v>
      </c>
      <c r="D95">
        <v>19.559999999999999</v>
      </c>
      <c r="E95">
        <v>785.53</v>
      </c>
      <c r="F95">
        <v>967.76</v>
      </c>
      <c r="G95">
        <v>47.96</v>
      </c>
      <c r="H95">
        <v>94.71</v>
      </c>
      <c r="I95">
        <v>59.94</v>
      </c>
      <c r="J95">
        <v>202.6</v>
      </c>
      <c r="K95">
        <v>1170.3599999999999</v>
      </c>
      <c r="L95">
        <v>4722.01</v>
      </c>
      <c r="M95">
        <v>7.22</v>
      </c>
      <c r="N95">
        <v>0</v>
      </c>
      <c r="O95">
        <v>97.68</v>
      </c>
      <c r="P95">
        <v>4826.91</v>
      </c>
      <c r="Q95">
        <v>561.63</v>
      </c>
      <c r="R95">
        <v>192.26</v>
      </c>
      <c r="S95">
        <v>0</v>
      </c>
      <c r="T95">
        <v>1668.91</v>
      </c>
      <c r="U95">
        <v>0</v>
      </c>
      <c r="V95">
        <v>38.15</v>
      </c>
      <c r="W95">
        <v>468.39</v>
      </c>
      <c r="X95">
        <v>2929.34</v>
      </c>
      <c r="Y95">
        <v>287.26</v>
      </c>
      <c r="Z95">
        <v>21771.08</v>
      </c>
      <c r="AA95">
        <v>48.79</v>
      </c>
      <c r="AB95">
        <v>0</v>
      </c>
      <c r="AC95">
        <v>37.090000000000003</v>
      </c>
      <c r="AD95">
        <v>896.71</v>
      </c>
      <c r="AE95">
        <v>31967.55</v>
      </c>
      <c r="AF95">
        <v>20100</v>
      </c>
      <c r="AG95" t="s">
        <v>51</v>
      </c>
      <c r="AH95" t="s">
        <v>52</v>
      </c>
      <c r="AI95" t="s">
        <v>51</v>
      </c>
      <c r="AJ95" t="s">
        <v>52</v>
      </c>
      <c r="AK95">
        <v>6758</v>
      </c>
      <c r="AL95" t="s">
        <v>44</v>
      </c>
      <c r="AM95">
        <v>3</v>
      </c>
      <c r="AN95">
        <v>3</v>
      </c>
      <c r="AO95">
        <v>2025</v>
      </c>
      <c r="AP95">
        <v>1</v>
      </c>
    </row>
    <row r="96" spans="1:42" x14ac:dyDescent="0.25">
      <c r="A96">
        <v>147.37</v>
      </c>
      <c r="B96">
        <v>498.34</v>
      </c>
      <c r="C96">
        <v>630.59</v>
      </c>
      <c r="D96">
        <v>254.43</v>
      </c>
      <c r="E96">
        <v>104.4</v>
      </c>
      <c r="F96">
        <v>1635.13</v>
      </c>
      <c r="G96">
        <v>0</v>
      </c>
      <c r="H96">
        <v>246.17</v>
      </c>
      <c r="I96">
        <v>177.95</v>
      </c>
      <c r="J96">
        <v>424.12</v>
      </c>
      <c r="K96">
        <v>2059.2600000000002</v>
      </c>
      <c r="L96">
        <v>2253.54</v>
      </c>
      <c r="M96">
        <v>136.68</v>
      </c>
      <c r="N96">
        <v>0</v>
      </c>
      <c r="O96">
        <v>0</v>
      </c>
      <c r="P96">
        <v>2390.2199999999998</v>
      </c>
      <c r="Q96">
        <v>0.22</v>
      </c>
      <c r="R96">
        <v>0</v>
      </c>
      <c r="S96">
        <v>184.6</v>
      </c>
      <c r="T96">
        <v>82.31</v>
      </c>
      <c r="U96">
        <v>0</v>
      </c>
      <c r="W96">
        <v>518.61</v>
      </c>
      <c r="X96">
        <v>785.74</v>
      </c>
      <c r="Y96">
        <v>0.34</v>
      </c>
      <c r="Z96">
        <v>64.39</v>
      </c>
      <c r="AA96">
        <v>1764.75</v>
      </c>
      <c r="AB96">
        <v>0</v>
      </c>
      <c r="AC96">
        <v>901.35</v>
      </c>
      <c r="AD96">
        <v>0</v>
      </c>
      <c r="AE96">
        <v>7966.03</v>
      </c>
      <c r="AF96">
        <v>20447</v>
      </c>
      <c r="AG96" t="s">
        <v>87</v>
      </c>
      <c r="AH96" t="s">
        <v>88</v>
      </c>
      <c r="AI96" t="s">
        <v>87</v>
      </c>
      <c r="AJ96" t="s">
        <v>88</v>
      </c>
      <c r="AK96">
        <v>6912</v>
      </c>
      <c r="AL96" t="s">
        <v>44</v>
      </c>
      <c r="AM96">
        <v>1</v>
      </c>
      <c r="AN96">
        <v>1</v>
      </c>
      <c r="AO96">
        <v>2025</v>
      </c>
      <c r="AP96">
        <v>1</v>
      </c>
    </row>
    <row r="97" spans="1:42" x14ac:dyDescent="0.25">
      <c r="A97">
        <v>157.51</v>
      </c>
      <c r="B97">
        <v>446.98</v>
      </c>
      <c r="C97">
        <v>514.79</v>
      </c>
      <c r="D97">
        <v>249.54</v>
      </c>
      <c r="E97">
        <v>100.46</v>
      </c>
      <c r="F97">
        <v>1469.27</v>
      </c>
      <c r="G97">
        <v>0</v>
      </c>
      <c r="H97">
        <v>261.41000000000003</v>
      </c>
      <c r="I97">
        <v>127.35</v>
      </c>
      <c r="J97">
        <v>388.77</v>
      </c>
      <c r="K97">
        <v>1858.04</v>
      </c>
      <c r="L97">
        <v>1939.61</v>
      </c>
      <c r="M97">
        <v>139.78</v>
      </c>
      <c r="N97">
        <v>0</v>
      </c>
      <c r="O97">
        <v>0</v>
      </c>
      <c r="P97">
        <v>2079.39</v>
      </c>
      <c r="Q97">
        <v>0</v>
      </c>
      <c r="R97">
        <v>0</v>
      </c>
      <c r="S97">
        <v>185.05</v>
      </c>
      <c r="T97">
        <v>96.56</v>
      </c>
      <c r="U97">
        <v>0</v>
      </c>
      <c r="W97">
        <v>386.63</v>
      </c>
      <c r="X97">
        <v>668.25</v>
      </c>
      <c r="Y97">
        <v>0</v>
      </c>
      <c r="Z97">
        <v>50.48</v>
      </c>
      <c r="AA97">
        <v>1245.71</v>
      </c>
      <c r="AB97">
        <v>0</v>
      </c>
      <c r="AC97">
        <v>2050.69</v>
      </c>
      <c r="AD97">
        <v>0</v>
      </c>
      <c r="AE97">
        <v>7952.56</v>
      </c>
      <c r="AF97">
        <v>20447</v>
      </c>
      <c r="AG97" t="s">
        <v>87</v>
      </c>
      <c r="AH97" t="s">
        <v>88</v>
      </c>
      <c r="AI97" t="s">
        <v>87</v>
      </c>
      <c r="AJ97" t="s">
        <v>88</v>
      </c>
      <c r="AK97">
        <v>6912</v>
      </c>
      <c r="AL97" t="s">
        <v>44</v>
      </c>
      <c r="AM97">
        <v>1</v>
      </c>
      <c r="AN97">
        <v>1</v>
      </c>
      <c r="AO97">
        <v>2025</v>
      </c>
      <c r="AP97">
        <v>3</v>
      </c>
    </row>
    <row r="98" spans="1:42" x14ac:dyDescent="0.25">
      <c r="A98">
        <v>160.77000000000001</v>
      </c>
      <c r="B98">
        <v>1223.78</v>
      </c>
      <c r="C98">
        <v>127.94</v>
      </c>
      <c r="D98">
        <v>79.3</v>
      </c>
      <c r="E98">
        <v>118.34</v>
      </c>
      <c r="F98">
        <v>1710.13</v>
      </c>
      <c r="G98">
        <v>133.28</v>
      </c>
      <c r="H98">
        <v>64.09</v>
      </c>
      <c r="I98">
        <v>113.2</v>
      </c>
      <c r="J98">
        <v>310.56</v>
      </c>
      <c r="K98">
        <v>2020.68</v>
      </c>
      <c r="L98">
        <v>487.26</v>
      </c>
      <c r="M98">
        <v>29.55</v>
      </c>
      <c r="N98">
        <v>0</v>
      </c>
      <c r="O98">
        <v>46.7</v>
      </c>
      <c r="P98">
        <v>563.52</v>
      </c>
      <c r="Q98">
        <v>0</v>
      </c>
      <c r="R98">
        <v>2.72</v>
      </c>
      <c r="S98">
        <v>9.66</v>
      </c>
      <c r="T98">
        <v>47.24</v>
      </c>
      <c r="U98">
        <v>0</v>
      </c>
      <c r="V98">
        <v>0</v>
      </c>
      <c r="W98">
        <v>1.2</v>
      </c>
      <c r="X98">
        <v>60.83</v>
      </c>
      <c r="Y98">
        <v>36.15</v>
      </c>
      <c r="Z98">
        <v>441.12</v>
      </c>
      <c r="AA98">
        <v>92</v>
      </c>
      <c r="AB98">
        <v>0</v>
      </c>
      <c r="AC98">
        <v>333.39</v>
      </c>
      <c r="AD98">
        <v>0</v>
      </c>
      <c r="AE98">
        <v>3547.68</v>
      </c>
      <c r="AF98">
        <v>20166</v>
      </c>
      <c r="AG98" t="s">
        <v>89</v>
      </c>
      <c r="AH98" t="s">
        <v>90</v>
      </c>
      <c r="AI98" t="s">
        <v>89</v>
      </c>
      <c r="AJ98" t="s">
        <v>90</v>
      </c>
      <c r="AK98">
        <v>6565</v>
      </c>
      <c r="AL98" t="s">
        <v>44</v>
      </c>
      <c r="AM98">
        <v>1</v>
      </c>
      <c r="AN98">
        <v>1</v>
      </c>
      <c r="AO98">
        <v>2025</v>
      </c>
      <c r="AP98">
        <v>3</v>
      </c>
    </row>
    <row r="99" spans="1:42" x14ac:dyDescent="0.25">
      <c r="A99">
        <v>175.27</v>
      </c>
      <c r="B99">
        <v>19199.55</v>
      </c>
      <c r="C99">
        <v>1132.32</v>
      </c>
      <c r="D99">
        <v>3135.04</v>
      </c>
      <c r="E99">
        <v>2896.2</v>
      </c>
      <c r="F99">
        <v>26538.37</v>
      </c>
      <c r="G99">
        <v>1003.64</v>
      </c>
      <c r="H99">
        <v>1942.91</v>
      </c>
      <c r="I99">
        <v>994.18</v>
      </c>
      <c r="J99">
        <v>3940.73</v>
      </c>
      <c r="K99">
        <v>30479.11</v>
      </c>
      <c r="L99">
        <v>6925.18</v>
      </c>
      <c r="M99">
        <v>452.49</v>
      </c>
      <c r="N99">
        <v>2092.17</v>
      </c>
      <c r="O99">
        <v>319.77999999999997</v>
      </c>
      <c r="P99">
        <v>9789.6200000000008</v>
      </c>
      <c r="Q99">
        <v>555.54</v>
      </c>
      <c r="R99">
        <v>67.77</v>
      </c>
      <c r="S99">
        <v>236.94</v>
      </c>
      <c r="T99">
        <v>1147.96</v>
      </c>
      <c r="U99">
        <v>251.88</v>
      </c>
      <c r="V99">
        <v>0</v>
      </c>
      <c r="W99">
        <v>10066.9</v>
      </c>
      <c r="X99">
        <v>12326.98</v>
      </c>
      <c r="Y99">
        <v>1979.5</v>
      </c>
      <c r="Z99">
        <v>3271.63</v>
      </c>
      <c r="AA99">
        <v>2566.42</v>
      </c>
      <c r="AB99">
        <v>601.86</v>
      </c>
      <c r="AC99">
        <v>946.47</v>
      </c>
      <c r="AD99">
        <v>12.34</v>
      </c>
      <c r="AE99">
        <v>61973.919999999998</v>
      </c>
      <c r="AF99">
        <v>20409</v>
      </c>
      <c r="AG99" t="s">
        <v>95</v>
      </c>
      <c r="AH99" t="s">
        <v>96</v>
      </c>
      <c r="AI99" t="s">
        <v>95</v>
      </c>
      <c r="AJ99" t="s">
        <v>96</v>
      </c>
      <c r="AK99">
        <v>10875</v>
      </c>
      <c r="AL99" t="s">
        <v>53</v>
      </c>
      <c r="AM99">
        <v>3</v>
      </c>
      <c r="AN99">
        <v>3</v>
      </c>
      <c r="AO99">
        <v>2025</v>
      </c>
      <c r="AP99">
        <v>1</v>
      </c>
    </row>
    <row r="100" spans="1:42" x14ac:dyDescent="0.25">
      <c r="A100">
        <v>177.92</v>
      </c>
      <c r="B100">
        <v>25135.33</v>
      </c>
      <c r="C100">
        <v>1710.41</v>
      </c>
      <c r="D100">
        <v>4289.53</v>
      </c>
      <c r="E100">
        <v>3735.09</v>
      </c>
      <c r="F100">
        <v>35048.269999999997</v>
      </c>
      <c r="G100">
        <v>1478.68</v>
      </c>
      <c r="H100">
        <v>2654.14</v>
      </c>
      <c r="I100">
        <v>1219</v>
      </c>
      <c r="J100">
        <v>5351.83</v>
      </c>
      <c r="K100">
        <v>40400.1</v>
      </c>
      <c r="L100">
        <v>9796.6200000000008</v>
      </c>
      <c r="M100">
        <v>796.82</v>
      </c>
      <c r="N100">
        <v>3455.83</v>
      </c>
      <c r="O100">
        <v>502.92</v>
      </c>
      <c r="P100">
        <v>14552.18</v>
      </c>
      <c r="Q100">
        <v>853.01</v>
      </c>
      <c r="R100">
        <v>182.08</v>
      </c>
      <c r="S100">
        <v>354.55</v>
      </c>
      <c r="T100">
        <v>1631.77</v>
      </c>
      <c r="U100">
        <v>335.78</v>
      </c>
      <c r="V100">
        <v>0</v>
      </c>
      <c r="W100">
        <v>13577.86</v>
      </c>
      <c r="X100">
        <v>16935.04</v>
      </c>
      <c r="Y100">
        <v>2683.42</v>
      </c>
      <c r="Z100">
        <v>3671.04</v>
      </c>
      <c r="AA100">
        <v>3494.56</v>
      </c>
      <c r="AB100">
        <v>700.14</v>
      </c>
      <c r="AC100">
        <v>1525.84</v>
      </c>
      <c r="AD100">
        <v>23.34</v>
      </c>
      <c r="AE100">
        <v>83985.67</v>
      </c>
      <c r="AF100">
        <v>20409</v>
      </c>
      <c r="AG100" t="s">
        <v>95</v>
      </c>
      <c r="AH100" t="s">
        <v>96</v>
      </c>
      <c r="AI100" t="s">
        <v>95</v>
      </c>
      <c r="AJ100" t="s">
        <v>96</v>
      </c>
      <c r="AK100">
        <v>10875</v>
      </c>
      <c r="AL100" t="s">
        <v>53</v>
      </c>
      <c r="AM100">
        <v>3</v>
      </c>
      <c r="AN100">
        <v>3</v>
      </c>
      <c r="AO100">
        <v>2025</v>
      </c>
      <c r="AP100">
        <v>4</v>
      </c>
    </row>
    <row r="101" spans="1:42" x14ac:dyDescent="0.25">
      <c r="A101">
        <v>179.44</v>
      </c>
      <c r="B101">
        <v>1348.51</v>
      </c>
      <c r="C101">
        <v>137.01</v>
      </c>
      <c r="D101">
        <v>102.15</v>
      </c>
      <c r="E101">
        <v>130.51</v>
      </c>
      <c r="F101">
        <v>1897.61</v>
      </c>
      <c r="G101">
        <v>145.58000000000001</v>
      </c>
      <c r="H101">
        <v>95.18</v>
      </c>
      <c r="I101">
        <v>108.84</v>
      </c>
      <c r="J101">
        <v>349.6</v>
      </c>
      <c r="K101">
        <v>2247.21</v>
      </c>
      <c r="L101">
        <v>703.53</v>
      </c>
      <c r="M101">
        <v>45.83</v>
      </c>
      <c r="N101">
        <v>0</v>
      </c>
      <c r="O101">
        <v>60.11</v>
      </c>
      <c r="P101">
        <v>809.48</v>
      </c>
      <c r="Q101">
        <v>0</v>
      </c>
      <c r="R101">
        <v>3.12</v>
      </c>
      <c r="S101">
        <v>11.22</v>
      </c>
      <c r="T101">
        <v>231.75</v>
      </c>
      <c r="U101">
        <v>0</v>
      </c>
      <c r="V101">
        <v>0</v>
      </c>
      <c r="W101">
        <v>1.34</v>
      </c>
      <c r="X101">
        <v>247.43</v>
      </c>
      <c r="Y101">
        <v>57.41</v>
      </c>
      <c r="Z101">
        <v>1004.72</v>
      </c>
      <c r="AA101">
        <v>115.71</v>
      </c>
      <c r="AB101">
        <v>0</v>
      </c>
      <c r="AC101">
        <v>535.29</v>
      </c>
      <c r="AD101">
        <v>0</v>
      </c>
      <c r="AE101">
        <v>5017.25</v>
      </c>
      <c r="AF101">
        <v>20166</v>
      </c>
      <c r="AG101" t="s">
        <v>89</v>
      </c>
      <c r="AH101" t="s">
        <v>90</v>
      </c>
      <c r="AI101" t="s">
        <v>89</v>
      </c>
      <c r="AJ101" t="s">
        <v>90</v>
      </c>
      <c r="AK101">
        <v>6565</v>
      </c>
      <c r="AL101" t="s">
        <v>44</v>
      </c>
      <c r="AM101">
        <v>1</v>
      </c>
      <c r="AN101">
        <v>1</v>
      </c>
      <c r="AO101">
        <v>2025</v>
      </c>
      <c r="AP101">
        <v>4</v>
      </c>
    </row>
    <row r="102" spans="1:42" x14ac:dyDescent="0.25">
      <c r="A102">
        <v>183.17</v>
      </c>
      <c r="B102">
        <v>618.92999999999995</v>
      </c>
      <c r="C102">
        <v>703.07</v>
      </c>
      <c r="D102">
        <v>340.15</v>
      </c>
      <c r="E102">
        <v>122.54</v>
      </c>
      <c r="F102">
        <v>1967.86</v>
      </c>
      <c r="G102">
        <v>0</v>
      </c>
      <c r="H102">
        <v>327.8</v>
      </c>
      <c r="I102">
        <v>165.92</v>
      </c>
      <c r="J102">
        <v>493.71</v>
      </c>
      <c r="K102">
        <v>2461.5700000000002</v>
      </c>
      <c r="L102">
        <v>1822.02</v>
      </c>
      <c r="M102">
        <v>168</v>
      </c>
      <c r="N102">
        <v>0</v>
      </c>
      <c r="O102">
        <v>0</v>
      </c>
      <c r="P102">
        <v>1990.02</v>
      </c>
      <c r="Q102">
        <v>-0.37</v>
      </c>
      <c r="R102">
        <v>0</v>
      </c>
      <c r="S102">
        <v>245.12</v>
      </c>
      <c r="T102">
        <v>84.81</v>
      </c>
      <c r="U102">
        <v>0</v>
      </c>
      <c r="W102">
        <v>405.48</v>
      </c>
      <c r="X102">
        <v>735.04</v>
      </c>
      <c r="Y102">
        <v>0</v>
      </c>
      <c r="Z102">
        <v>91.96</v>
      </c>
      <c r="AA102">
        <v>2323.4899999999998</v>
      </c>
      <c r="AB102">
        <v>0</v>
      </c>
      <c r="AC102">
        <v>1169.79</v>
      </c>
      <c r="AD102">
        <v>0</v>
      </c>
      <c r="AE102">
        <v>8771.8700000000008</v>
      </c>
      <c r="AF102">
        <v>20447</v>
      </c>
      <c r="AG102" t="s">
        <v>87</v>
      </c>
      <c r="AH102" t="s">
        <v>88</v>
      </c>
      <c r="AI102" t="s">
        <v>87</v>
      </c>
      <c r="AJ102" t="s">
        <v>88</v>
      </c>
      <c r="AK102">
        <v>6912</v>
      </c>
      <c r="AL102" t="s">
        <v>44</v>
      </c>
      <c r="AM102">
        <v>1</v>
      </c>
      <c r="AN102">
        <v>1</v>
      </c>
      <c r="AO102">
        <v>2025</v>
      </c>
      <c r="AP102">
        <v>2</v>
      </c>
    </row>
    <row r="103" spans="1:42" x14ac:dyDescent="0.25">
      <c r="A103">
        <v>183.84</v>
      </c>
      <c r="B103">
        <v>1235.1600000000001</v>
      </c>
      <c r="C103">
        <v>511.75</v>
      </c>
      <c r="D103">
        <v>201.64</v>
      </c>
      <c r="E103">
        <v>0</v>
      </c>
      <c r="F103">
        <v>2132.39</v>
      </c>
      <c r="G103">
        <v>1238.04</v>
      </c>
      <c r="H103">
        <v>264.31</v>
      </c>
      <c r="I103">
        <v>226.37</v>
      </c>
      <c r="J103">
        <v>1728.72</v>
      </c>
      <c r="K103">
        <v>3861.11</v>
      </c>
      <c r="L103">
        <v>1967.77</v>
      </c>
      <c r="M103">
        <v>124.99</v>
      </c>
      <c r="N103">
        <v>137.97999999999999</v>
      </c>
      <c r="O103">
        <v>369.77</v>
      </c>
      <c r="P103">
        <v>2600.52</v>
      </c>
      <c r="Q103">
        <v>2.79</v>
      </c>
      <c r="R103">
        <v>30.92</v>
      </c>
      <c r="S103">
        <v>128.38999999999999</v>
      </c>
      <c r="T103">
        <v>643.37</v>
      </c>
      <c r="U103">
        <v>74.430000000000007</v>
      </c>
      <c r="V103">
        <v>0</v>
      </c>
      <c r="W103">
        <v>1061.8</v>
      </c>
      <c r="X103">
        <v>1941.71</v>
      </c>
      <c r="Y103">
        <v>28.97</v>
      </c>
      <c r="Z103">
        <v>100.16</v>
      </c>
      <c r="AA103">
        <v>1659.25</v>
      </c>
      <c r="AB103">
        <v>30.62</v>
      </c>
      <c r="AC103">
        <v>486.41</v>
      </c>
      <c r="AD103">
        <v>0</v>
      </c>
      <c r="AE103">
        <v>10708.75</v>
      </c>
      <c r="AF103">
        <v>21492</v>
      </c>
      <c r="AG103" t="s">
        <v>91</v>
      </c>
      <c r="AH103" t="s">
        <v>92</v>
      </c>
      <c r="AI103" t="s">
        <v>91</v>
      </c>
      <c r="AJ103" t="s">
        <v>92</v>
      </c>
      <c r="AK103">
        <v>1159</v>
      </c>
      <c r="AL103" t="s">
        <v>44</v>
      </c>
      <c r="AM103">
        <v>1</v>
      </c>
      <c r="AN103">
        <v>1</v>
      </c>
      <c r="AO103">
        <v>2025</v>
      </c>
      <c r="AP103">
        <v>4</v>
      </c>
    </row>
    <row r="104" spans="1:42" x14ac:dyDescent="0.25">
      <c r="A104">
        <v>185.83</v>
      </c>
      <c r="B104">
        <v>424.45</v>
      </c>
      <c r="C104">
        <v>535.20000000000005</v>
      </c>
      <c r="D104">
        <v>261.86</v>
      </c>
      <c r="E104">
        <v>103.02</v>
      </c>
      <c r="F104">
        <v>1510.36</v>
      </c>
      <c r="G104">
        <v>0</v>
      </c>
      <c r="H104">
        <v>233.84</v>
      </c>
      <c r="I104">
        <v>119.69</v>
      </c>
      <c r="J104">
        <v>353.53</v>
      </c>
      <c r="K104">
        <v>1863.89</v>
      </c>
      <c r="L104">
        <v>2493.8000000000002</v>
      </c>
      <c r="M104">
        <v>149</v>
      </c>
      <c r="N104">
        <v>0</v>
      </c>
      <c r="O104">
        <v>0</v>
      </c>
      <c r="P104">
        <v>2642.8</v>
      </c>
      <c r="Q104">
        <v>-7.0000000000000007E-2</v>
      </c>
      <c r="R104">
        <v>0</v>
      </c>
      <c r="S104">
        <v>67.17</v>
      </c>
      <c r="T104">
        <v>192.83</v>
      </c>
      <c r="U104">
        <v>0</v>
      </c>
      <c r="W104">
        <v>560.9</v>
      </c>
      <c r="X104">
        <v>820.84</v>
      </c>
      <c r="Y104">
        <v>3.47</v>
      </c>
      <c r="Z104">
        <v>44.36</v>
      </c>
      <c r="AA104">
        <v>1423.55</v>
      </c>
      <c r="AB104">
        <v>0</v>
      </c>
      <c r="AC104">
        <v>861.59</v>
      </c>
      <c r="AD104">
        <v>0</v>
      </c>
      <c r="AE104">
        <v>7660.48</v>
      </c>
      <c r="AF104">
        <v>20447</v>
      </c>
      <c r="AG104" t="s">
        <v>87</v>
      </c>
      <c r="AH104" t="s">
        <v>88</v>
      </c>
      <c r="AI104" t="s">
        <v>87</v>
      </c>
      <c r="AJ104" t="s">
        <v>88</v>
      </c>
      <c r="AK104">
        <v>16917</v>
      </c>
      <c r="AL104" t="s">
        <v>47</v>
      </c>
      <c r="AM104">
        <v>1</v>
      </c>
      <c r="AN104">
        <v>1</v>
      </c>
      <c r="AO104">
        <v>2025</v>
      </c>
      <c r="AP104">
        <v>4</v>
      </c>
    </row>
    <row r="105" spans="1:42" x14ac:dyDescent="0.25">
      <c r="A105">
        <v>187.57</v>
      </c>
      <c r="B105">
        <v>634.25</v>
      </c>
      <c r="C105">
        <v>802.57</v>
      </c>
      <c r="D105">
        <v>323.82</v>
      </c>
      <c r="E105">
        <v>132.87</v>
      </c>
      <c r="F105">
        <v>2081.08</v>
      </c>
      <c r="G105">
        <v>0</v>
      </c>
      <c r="H105">
        <v>313.31</v>
      </c>
      <c r="I105">
        <v>226.49</v>
      </c>
      <c r="J105">
        <v>539.79999999999995</v>
      </c>
      <c r="K105">
        <v>2620.87</v>
      </c>
      <c r="L105">
        <v>2868.14</v>
      </c>
      <c r="M105">
        <v>173.95</v>
      </c>
      <c r="N105">
        <v>0</v>
      </c>
      <c r="O105">
        <v>0</v>
      </c>
      <c r="P105">
        <v>3042.09</v>
      </c>
      <c r="Q105">
        <v>0.28000000000000003</v>
      </c>
      <c r="R105">
        <v>0</v>
      </c>
      <c r="S105">
        <v>234.94</v>
      </c>
      <c r="T105">
        <v>104.76</v>
      </c>
      <c r="U105">
        <v>0</v>
      </c>
      <c r="W105">
        <v>660.04</v>
      </c>
      <c r="X105">
        <v>1000.03</v>
      </c>
      <c r="Y105">
        <v>0.43</v>
      </c>
      <c r="Z105">
        <v>81.94</v>
      </c>
      <c r="AA105">
        <v>2246.0500000000002</v>
      </c>
      <c r="AB105">
        <v>0</v>
      </c>
      <c r="AC105">
        <v>1147.17</v>
      </c>
      <c r="AD105">
        <v>0</v>
      </c>
      <c r="AE105">
        <v>10138.59</v>
      </c>
      <c r="AF105">
        <v>20447</v>
      </c>
      <c r="AG105" t="s">
        <v>87</v>
      </c>
      <c r="AH105" t="s">
        <v>88</v>
      </c>
      <c r="AI105" t="s">
        <v>87</v>
      </c>
      <c r="AJ105" t="s">
        <v>88</v>
      </c>
      <c r="AK105">
        <v>16917</v>
      </c>
      <c r="AL105" t="s">
        <v>47</v>
      </c>
      <c r="AM105">
        <v>1</v>
      </c>
      <c r="AN105">
        <v>1</v>
      </c>
      <c r="AO105">
        <v>2025</v>
      </c>
      <c r="AP105">
        <v>1</v>
      </c>
    </row>
    <row r="106" spans="1:42" x14ac:dyDescent="0.25">
      <c r="A106">
        <v>192.51</v>
      </c>
      <c r="B106">
        <v>546.29999999999995</v>
      </c>
      <c r="C106">
        <v>629.19000000000005</v>
      </c>
      <c r="D106">
        <v>304.99</v>
      </c>
      <c r="E106">
        <v>122.78</v>
      </c>
      <c r="F106">
        <v>1795.78</v>
      </c>
      <c r="G106">
        <v>0</v>
      </c>
      <c r="H106">
        <v>319.5</v>
      </c>
      <c r="I106">
        <v>155.66</v>
      </c>
      <c r="J106">
        <v>475.16</v>
      </c>
      <c r="K106">
        <v>2270.9299999999998</v>
      </c>
      <c r="L106">
        <v>2370.63</v>
      </c>
      <c r="M106">
        <v>170.85</v>
      </c>
      <c r="N106">
        <v>0</v>
      </c>
      <c r="O106">
        <v>0</v>
      </c>
      <c r="P106">
        <v>2541.48</v>
      </c>
      <c r="Q106">
        <v>0</v>
      </c>
      <c r="R106">
        <v>0</v>
      </c>
      <c r="S106">
        <v>226.17</v>
      </c>
      <c r="T106">
        <v>118.02</v>
      </c>
      <c r="U106">
        <v>0</v>
      </c>
      <c r="W106">
        <v>472.55</v>
      </c>
      <c r="X106">
        <v>816.74</v>
      </c>
      <c r="Y106">
        <v>0</v>
      </c>
      <c r="Z106">
        <v>61.7</v>
      </c>
      <c r="AA106">
        <v>1522.54</v>
      </c>
      <c r="AB106">
        <v>0</v>
      </c>
      <c r="AC106">
        <v>2506.4</v>
      </c>
      <c r="AD106">
        <v>0</v>
      </c>
      <c r="AE106">
        <v>9719.7900000000009</v>
      </c>
      <c r="AF106">
        <v>20447</v>
      </c>
      <c r="AG106" t="s">
        <v>87</v>
      </c>
      <c r="AH106" t="s">
        <v>88</v>
      </c>
      <c r="AI106" t="s">
        <v>87</v>
      </c>
      <c r="AJ106" t="s">
        <v>88</v>
      </c>
      <c r="AK106">
        <v>16917</v>
      </c>
      <c r="AL106" t="s">
        <v>47</v>
      </c>
      <c r="AM106">
        <v>1</v>
      </c>
      <c r="AN106">
        <v>1</v>
      </c>
      <c r="AO106">
        <v>2025</v>
      </c>
      <c r="AP106">
        <v>3</v>
      </c>
    </row>
    <row r="107" spans="1:42" x14ac:dyDescent="0.25">
      <c r="A107">
        <v>192.83</v>
      </c>
      <c r="B107">
        <v>1203.6199999999999</v>
      </c>
      <c r="C107">
        <v>638.79</v>
      </c>
      <c r="D107">
        <v>167.98</v>
      </c>
      <c r="E107">
        <v>0</v>
      </c>
      <c r="F107">
        <v>2203.21</v>
      </c>
      <c r="G107">
        <v>697.94</v>
      </c>
      <c r="H107">
        <v>353.01</v>
      </c>
      <c r="I107">
        <v>205.29</v>
      </c>
      <c r="J107">
        <v>1256.23</v>
      </c>
      <c r="K107">
        <v>3459.43</v>
      </c>
      <c r="L107">
        <v>1642.02</v>
      </c>
      <c r="M107">
        <v>140.02000000000001</v>
      </c>
      <c r="N107">
        <v>194.23</v>
      </c>
      <c r="O107">
        <v>197.86</v>
      </c>
      <c r="P107">
        <v>2174.13</v>
      </c>
      <c r="Q107">
        <v>0</v>
      </c>
      <c r="R107">
        <v>9.65</v>
      </c>
      <c r="S107">
        <v>179.29</v>
      </c>
      <c r="T107">
        <v>446.74</v>
      </c>
      <c r="U107">
        <v>49.39</v>
      </c>
      <c r="V107">
        <v>0</v>
      </c>
      <c r="W107">
        <v>1294.4000000000001</v>
      </c>
      <c r="X107">
        <v>1979.46</v>
      </c>
      <c r="Y107">
        <v>30.45</v>
      </c>
      <c r="Z107">
        <v>120.46</v>
      </c>
      <c r="AA107">
        <v>1677.91</v>
      </c>
      <c r="AB107">
        <v>83.06</v>
      </c>
      <c r="AC107">
        <v>104.18</v>
      </c>
      <c r="AD107">
        <v>0</v>
      </c>
      <c r="AE107">
        <v>9629.08</v>
      </c>
      <c r="AF107">
        <v>21492</v>
      </c>
      <c r="AG107" t="s">
        <v>91</v>
      </c>
      <c r="AH107" t="s">
        <v>92</v>
      </c>
      <c r="AI107" t="s">
        <v>91</v>
      </c>
      <c r="AJ107" t="s">
        <v>92</v>
      </c>
      <c r="AK107">
        <v>1159</v>
      </c>
      <c r="AL107" t="s">
        <v>44</v>
      </c>
      <c r="AM107">
        <v>1</v>
      </c>
      <c r="AN107">
        <v>1</v>
      </c>
      <c r="AO107">
        <v>2025</v>
      </c>
      <c r="AP107">
        <v>1</v>
      </c>
    </row>
    <row r="108" spans="1:42" x14ac:dyDescent="0.25">
      <c r="A108">
        <v>194.85</v>
      </c>
      <c r="B108">
        <v>1370.93</v>
      </c>
      <c r="C108">
        <v>579.87</v>
      </c>
      <c r="D108">
        <v>207.86</v>
      </c>
      <c r="E108">
        <v>0</v>
      </c>
      <c r="F108">
        <v>2353.52</v>
      </c>
      <c r="G108">
        <v>1115.8699999999999</v>
      </c>
      <c r="H108">
        <v>267.41000000000003</v>
      </c>
      <c r="I108">
        <v>186.97</v>
      </c>
      <c r="J108">
        <v>1570.25</v>
      </c>
      <c r="K108">
        <v>3923.76</v>
      </c>
      <c r="L108">
        <v>2120.4699999999998</v>
      </c>
      <c r="M108">
        <v>323.14</v>
      </c>
      <c r="N108">
        <v>296.68</v>
      </c>
      <c r="O108">
        <v>279.08</v>
      </c>
      <c r="P108">
        <v>3019.37</v>
      </c>
      <c r="Q108">
        <v>0.28999999999999998</v>
      </c>
      <c r="R108">
        <v>19.07</v>
      </c>
      <c r="S108">
        <v>166.53</v>
      </c>
      <c r="T108">
        <v>895.66</v>
      </c>
      <c r="U108">
        <v>55.87</v>
      </c>
      <c r="V108">
        <v>0</v>
      </c>
      <c r="W108">
        <v>1273.5899999999999</v>
      </c>
      <c r="X108">
        <v>2411</v>
      </c>
      <c r="Y108">
        <v>44.71</v>
      </c>
      <c r="Z108">
        <v>75.239999999999995</v>
      </c>
      <c r="AA108">
        <v>1388.67</v>
      </c>
      <c r="AB108">
        <v>65.63</v>
      </c>
      <c r="AC108">
        <v>80.75</v>
      </c>
      <c r="AD108">
        <v>0</v>
      </c>
      <c r="AE108">
        <v>11009.14</v>
      </c>
      <c r="AF108">
        <v>21492</v>
      </c>
      <c r="AG108" t="s">
        <v>91</v>
      </c>
      <c r="AH108" t="s">
        <v>92</v>
      </c>
      <c r="AI108" t="s">
        <v>91</v>
      </c>
      <c r="AJ108" t="s">
        <v>92</v>
      </c>
      <c r="AK108">
        <v>1159</v>
      </c>
      <c r="AL108" t="s">
        <v>44</v>
      </c>
      <c r="AM108">
        <v>1</v>
      </c>
      <c r="AN108">
        <v>1</v>
      </c>
      <c r="AO108">
        <v>2025</v>
      </c>
      <c r="AP108">
        <v>3</v>
      </c>
    </row>
    <row r="109" spans="1:42" x14ac:dyDescent="0.25">
      <c r="A109">
        <v>198.17</v>
      </c>
      <c r="B109">
        <v>1236.98</v>
      </c>
      <c r="C109">
        <v>656.49</v>
      </c>
      <c r="D109">
        <v>172.63</v>
      </c>
      <c r="E109">
        <v>0</v>
      </c>
      <c r="F109">
        <v>2264.2800000000002</v>
      </c>
      <c r="G109">
        <v>717.28</v>
      </c>
      <c r="H109">
        <v>362.79</v>
      </c>
      <c r="I109">
        <v>210.98</v>
      </c>
      <c r="J109">
        <v>1291.05</v>
      </c>
      <c r="K109">
        <v>3555.33</v>
      </c>
      <c r="L109">
        <v>2162.37</v>
      </c>
      <c r="M109">
        <v>143.91</v>
      </c>
      <c r="N109">
        <v>199.61</v>
      </c>
      <c r="O109">
        <v>311.93</v>
      </c>
      <c r="P109">
        <v>2817.82</v>
      </c>
      <c r="Q109">
        <v>0</v>
      </c>
      <c r="R109">
        <v>9.91</v>
      </c>
      <c r="S109">
        <v>184.26</v>
      </c>
      <c r="T109">
        <v>459.12</v>
      </c>
      <c r="U109">
        <v>50.76</v>
      </c>
      <c r="V109">
        <v>0</v>
      </c>
      <c r="W109">
        <v>1330.28</v>
      </c>
      <c r="X109">
        <v>2034.33</v>
      </c>
      <c r="Y109">
        <v>31.29</v>
      </c>
      <c r="Z109">
        <v>123.8</v>
      </c>
      <c r="AA109">
        <v>1724.43</v>
      </c>
      <c r="AB109">
        <v>85.37</v>
      </c>
      <c r="AC109">
        <v>287.51</v>
      </c>
      <c r="AD109">
        <v>0</v>
      </c>
      <c r="AE109">
        <v>10659.87</v>
      </c>
      <c r="AF109">
        <v>21492</v>
      </c>
      <c r="AG109" t="s">
        <v>91</v>
      </c>
      <c r="AH109" t="s">
        <v>92</v>
      </c>
      <c r="AI109" t="s">
        <v>91</v>
      </c>
      <c r="AJ109" t="s">
        <v>92</v>
      </c>
      <c r="AK109">
        <v>11019</v>
      </c>
      <c r="AL109" t="s">
        <v>47</v>
      </c>
      <c r="AM109">
        <v>1</v>
      </c>
      <c r="AN109">
        <v>1</v>
      </c>
      <c r="AO109">
        <v>2025</v>
      </c>
      <c r="AP109">
        <v>1</v>
      </c>
    </row>
    <row r="110" spans="1:42" x14ac:dyDescent="0.25">
      <c r="A110">
        <v>203.82</v>
      </c>
      <c r="B110">
        <v>1418.24</v>
      </c>
      <c r="C110">
        <v>154.88999999999999</v>
      </c>
      <c r="D110">
        <v>107.19</v>
      </c>
      <c r="E110">
        <v>153.04</v>
      </c>
      <c r="F110">
        <v>2037.19</v>
      </c>
      <c r="G110">
        <v>161.4</v>
      </c>
      <c r="H110">
        <v>127.95</v>
      </c>
      <c r="I110">
        <v>190.2</v>
      </c>
      <c r="J110">
        <v>479.56</v>
      </c>
      <c r="K110">
        <v>2516.75</v>
      </c>
      <c r="L110">
        <v>703.21</v>
      </c>
      <c r="M110">
        <v>69.11</v>
      </c>
      <c r="N110">
        <v>0</v>
      </c>
      <c r="O110">
        <v>53.02</v>
      </c>
      <c r="P110">
        <v>825.34</v>
      </c>
      <c r="Q110">
        <v>0</v>
      </c>
      <c r="R110">
        <v>16.829999999999998</v>
      </c>
      <c r="S110">
        <v>13.65</v>
      </c>
      <c r="T110">
        <v>122.04</v>
      </c>
      <c r="U110">
        <v>0</v>
      </c>
      <c r="V110">
        <v>0</v>
      </c>
      <c r="W110">
        <v>0.78</v>
      </c>
      <c r="X110">
        <v>153.30000000000001</v>
      </c>
      <c r="Y110">
        <v>39.75</v>
      </c>
      <c r="Z110">
        <v>669.1</v>
      </c>
      <c r="AA110">
        <v>116.73</v>
      </c>
      <c r="AB110">
        <v>0</v>
      </c>
      <c r="AC110">
        <v>481.35</v>
      </c>
      <c r="AD110">
        <v>0</v>
      </c>
      <c r="AE110">
        <v>4802.3100000000004</v>
      </c>
      <c r="AF110">
        <v>20166</v>
      </c>
      <c r="AG110" t="s">
        <v>89</v>
      </c>
      <c r="AH110" t="s">
        <v>90</v>
      </c>
      <c r="AI110" t="s">
        <v>89</v>
      </c>
      <c r="AJ110" t="s">
        <v>90</v>
      </c>
      <c r="AK110">
        <v>16565</v>
      </c>
      <c r="AL110" t="s">
        <v>47</v>
      </c>
      <c r="AM110">
        <v>1</v>
      </c>
      <c r="AN110">
        <v>1</v>
      </c>
      <c r="AO110">
        <v>2025</v>
      </c>
      <c r="AP110">
        <v>1</v>
      </c>
    </row>
    <row r="111" spans="1:42" x14ac:dyDescent="0.25">
      <c r="A111">
        <v>212.14</v>
      </c>
      <c r="B111">
        <v>1476.13</v>
      </c>
      <c r="C111">
        <v>161.22</v>
      </c>
      <c r="D111">
        <v>111.57</v>
      </c>
      <c r="E111">
        <v>159.29</v>
      </c>
      <c r="F111">
        <v>2120.34</v>
      </c>
      <c r="G111">
        <v>167.99</v>
      </c>
      <c r="H111">
        <v>133.16999999999999</v>
      </c>
      <c r="I111">
        <v>197.97</v>
      </c>
      <c r="J111">
        <v>499.13</v>
      </c>
      <c r="K111">
        <v>2619.4699999999998</v>
      </c>
      <c r="L111">
        <v>816.59</v>
      </c>
      <c r="M111">
        <v>71.930000000000007</v>
      </c>
      <c r="N111">
        <v>0</v>
      </c>
      <c r="O111">
        <v>55.19</v>
      </c>
      <c r="P111">
        <v>943.71</v>
      </c>
      <c r="Q111">
        <v>0</v>
      </c>
      <c r="R111">
        <v>17.52</v>
      </c>
      <c r="S111">
        <v>14.2</v>
      </c>
      <c r="T111">
        <v>127.02</v>
      </c>
      <c r="U111">
        <v>0</v>
      </c>
      <c r="V111">
        <v>0</v>
      </c>
      <c r="W111">
        <v>0.81</v>
      </c>
      <c r="X111">
        <v>159.55000000000001</v>
      </c>
      <c r="Y111">
        <v>41.37</v>
      </c>
      <c r="Z111">
        <v>696.41</v>
      </c>
      <c r="AA111">
        <v>121.5</v>
      </c>
      <c r="AB111">
        <v>0</v>
      </c>
      <c r="AC111">
        <v>416.32</v>
      </c>
      <c r="AD111">
        <v>0</v>
      </c>
      <c r="AE111">
        <v>4998.32</v>
      </c>
      <c r="AF111">
        <v>20166</v>
      </c>
      <c r="AG111" t="s">
        <v>89</v>
      </c>
      <c r="AH111" t="s">
        <v>90</v>
      </c>
      <c r="AI111" t="s">
        <v>89</v>
      </c>
      <c r="AJ111" t="s">
        <v>90</v>
      </c>
      <c r="AK111">
        <v>6565</v>
      </c>
      <c r="AL111" t="s">
        <v>44</v>
      </c>
      <c r="AM111">
        <v>1</v>
      </c>
      <c r="AN111">
        <v>1</v>
      </c>
      <c r="AO111">
        <v>2025</v>
      </c>
      <c r="AP111">
        <v>1</v>
      </c>
    </row>
    <row r="112" spans="1:42" x14ac:dyDescent="0.25">
      <c r="A112">
        <v>216.38</v>
      </c>
      <c r="B112">
        <v>1522.37</v>
      </c>
      <c r="C112">
        <v>643.92999999999995</v>
      </c>
      <c r="D112">
        <v>230.82</v>
      </c>
      <c r="E112">
        <v>0</v>
      </c>
      <c r="F112">
        <v>2613.5100000000002</v>
      </c>
      <c r="G112">
        <v>1239.1400000000001</v>
      </c>
      <c r="H112">
        <v>296.95</v>
      </c>
      <c r="I112">
        <v>207.62</v>
      </c>
      <c r="J112">
        <v>1743.72</v>
      </c>
      <c r="K112">
        <v>4357.2299999999996</v>
      </c>
      <c r="L112">
        <v>2742.91</v>
      </c>
      <c r="M112">
        <v>358.84</v>
      </c>
      <c r="N112">
        <v>329.46</v>
      </c>
      <c r="O112">
        <v>371.87</v>
      </c>
      <c r="P112">
        <v>3803.06</v>
      </c>
      <c r="Q112">
        <v>0.32</v>
      </c>
      <c r="R112">
        <v>21.17</v>
      </c>
      <c r="S112">
        <v>184.93</v>
      </c>
      <c r="T112">
        <v>994.6</v>
      </c>
      <c r="U112">
        <v>62.04</v>
      </c>
      <c r="V112">
        <v>0</v>
      </c>
      <c r="W112">
        <v>1414.29</v>
      </c>
      <c r="X112">
        <v>2677.35</v>
      </c>
      <c r="Y112">
        <v>49.65</v>
      </c>
      <c r="Z112">
        <v>83.55</v>
      </c>
      <c r="AA112">
        <v>1542.08</v>
      </c>
      <c r="AB112">
        <v>72.88</v>
      </c>
      <c r="AC112">
        <v>322.43</v>
      </c>
      <c r="AD112">
        <v>0</v>
      </c>
      <c r="AE112">
        <v>12908.23</v>
      </c>
      <c r="AF112">
        <v>21492</v>
      </c>
      <c r="AG112" t="s">
        <v>91</v>
      </c>
      <c r="AH112" t="s">
        <v>92</v>
      </c>
      <c r="AI112" t="s">
        <v>91</v>
      </c>
      <c r="AJ112" t="s">
        <v>92</v>
      </c>
      <c r="AK112">
        <v>11019</v>
      </c>
      <c r="AL112" t="s">
        <v>47</v>
      </c>
      <c r="AM112">
        <v>1</v>
      </c>
      <c r="AN112">
        <v>1</v>
      </c>
      <c r="AO112">
        <v>2025</v>
      </c>
      <c r="AP112">
        <v>3</v>
      </c>
    </row>
    <row r="113" spans="1:42" x14ac:dyDescent="0.25">
      <c r="A113">
        <v>220.37</v>
      </c>
      <c r="B113">
        <v>1656.1</v>
      </c>
      <c r="C113">
        <v>168.26</v>
      </c>
      <c r="D113">
        <v>125.45</v>
      </c>
      <c r="E113">
        <v>160.28</v>
      </c>
      <c r="F113">
        <v>2330.44</v>
      </c>
      <c r="G113">
        <v>178.79</v>
      </c>
      <c r="H113">
        <v>116.89</v>
      </c>
      <c r="I113">
        <v>133.66</v>
      </c>
      <c r="J113">
        <v>429.34</v>
      </c>
      <c r="K113">
        <v>2759.78</v>
      </c>
      <c r="L113">
        <v>684.06</v>
      </c>
      <c r="M113">
        <v>56.29</v>
      </c>
      <c r="N113">
        <v>0</v>
      </c>
      <c r="O113">
        <v>73.83</v>
      </c>
      <c r="P113">
        <v>814.18</v>
      </c>
      <c r="Q113">
        <v>0</v>
      </c>
      <c r="R113">
        <v>3.83</v>
      </c>
      <c r="S113">
        <v>13.78</v>
      </c>
      <c r="T113">
        <v>284.61</v>
      </c>
      <c r="U113">
        <v>0</v>
      </c>
      <c r="V113">
        <v>0</v>
      </c>
      <c r="W113">
        <v>1.64</v>
      </c>
      <c r="X113">
        <v>303.87</v>
      </c>
      <c r="Y113">
        <v>70.5</v>
      </c>
      <c r="Z113">
        <v>1233.9000000000001</v>
      </c>
      <c r="AA113">
        <v>142.11000000000001</v>
      </c>
      <c r="AB113">
        <v>0</v>
      </c>
      <c r="AC113">
        <v>837.33</v>
      </c>
      <c r="AD113">
        <v>0</v>
      </c>
      <c r="AE113">
        <v>6161.65</v>
      </c>
      <c r="AF113">
        <v>20166</v>
      </c>
      <c r="AG113" t="s">
        <v>89</v>
      </c>
      <c r="AH113" t="s">
        <v>90</v>
      </c>
      <c r="AI113" t="s">
        <v>89</v>
      </c>
      <c r="AJ113" t="s">
        <v>90</v>
      </c>
      <c r="AK113">
        <v>16565</v>
      </c>
      <c r="AL113" t="s">
        <v>47</v>
      </c>
      <c r="AM113">
        <v>1</v>
      </c>
      <c r="AN113">
        <v>1</v>
      </c>
      <c r="AO113">
        <v>2025</v>
      </c>
      <c r="AP113">
        <v>4</v>
      </c>
    </row>
    <row r="114" spans="1:42" x14ac:dyDescent="0.25">
      <c r="A114">
        <v>220.45</v>
      </c>
      <c r="B114">
        <v>4045.63</v>
      </c>
      <c r="C114">
        <v>894.64</v>
      </c>
      <c r="D114">
        <v>1236.23</v>
      </c>
      <c r="E114">
        <v>1195.1099999999999</v>
      </c>
      <c r="F114">
        <v>7592.05</v>
      </c>
      <c r="G114">
        <v>797.98</v>
      </c>
      <c r="H114">
        <v>727.32</v>
      </c>
      <c r="I114">
        <v>405.89</v>
      </c>
      <c r="J114">
        <v>1931.19</v>
      </c>
      <c r="K114">
        <v>9523.24</v>
      </c>
      <c r="L114">
        <v>7386.45</v>
      </c>
      <c r="M114">
        <v>1247.31</v>
      </c>
      <c r="N114">
        <v>0</v>
      </c>
      <c r="O114">
        <v>166.29</v>
      </c>
      <c r="P114">
        <v>8800.0499999999993</v>
      </c>
      <c r="Q114">
        <v>13.23</v>
      </c>
      <c r="R114">
        <v>490.08</v>
      </c>
      <c r="S114">
        <v>246.79</v>
      </c>
      <c r="T114">
        <v>4261.0200000000004</v>
      </c>
      <c r="U114">
        <v>0</v>
      </c>
      <c r="V114">
        <v>280.73</v>
      </c>
      <c r="W114">
        <v>3403.12</v>
      </c>
      <c r="X114">
        <v>8694.98</v>
      </c>
      <c r="Y114">
        <v>708.55</v>
      </c>
      <c r="Z114">
        <v>3908.93</v>
      </c>
      <c r="AA114">
        <v>581.04</v>
      </c>
      <c r="AB114">
        <v>481.93</v>
      </c>
      <c r="AC114">
        <v>615.33000000000004</v>
      </c>
      <c r="AD114">
        <v>1830.89</v>
      </c>
      <c r="AE114">
        <v>35144.94</v>
      </c>
      <c r="AF114">
        <v>20151</v>
      </c>
      <c r="AG114" t="s">
        <v>97</v>
      </c>
      <c r="AH114" t="s">
        <v>98</v>
      </c>
      <c r="AI114" t="s">
        <v>97</v>
      </c>
      <c r="AJ114" t="s">
        <v>98</v>
      </c>
      <c r="AK114">
        <v>6052</v>
      </c>
      <c r="AL114" t="s">
        <v>44</v>
      </c>
      <c r="AM114">
        <v>2</v>
      </c>
      <c r="AN114">
        <v>2</v>
      </c>
      <c r="AO114">
        <v>2025</v>
      </c>
      <c r="AP114">
        <v>4</v>
      </c>
    </row>
    <row r="115" spans="1:42" x14ac:dyDescent="0.25">
      <c r="A115">
        <v>222.47</v>
      </c>
      <c r="B115">
        <v>1852.61</v>
      </c>
      <c r="C115">
        <v>179.25</v>
      </c>
      <c r="D115">
        <v>133.38</v>
      </c>
      <c r="E115">
        <v>162.36000000000001</v>
      </c>
      <c r="F115">
        <v>2550.0700000000002</v>
      </c>
      <c r="G115">
        <v>152.94</v>
      </c>
      <c r="H115">
        <v>128.85</v>
      </c>
      <c r="I115">
        <v>183.68</v>
      </c>
      <c r="J115">
        <v>465.47</v>
      </c>
      <c r="K115">
        <v>3015.53</v>
      </c>
      <c r="L115">
        <v>444.36</v>
      </c>
      <c r="M115">
        <v>46.78</v>
      </c>
      <c r="N115">
        <v>0</v>
      </c>
      <c r="O115">
        <v>119.48</v>
      </c>
      <c r="P115">
        <v>610.61</v>
      </c>
      <c r="Q115">
        <v>0</v>
      </c>
      <c r="R115">
        <v>4.5999999999999996</v>
      </c>
      <c r="S115">
        <v>17.38</v>
      </c>
      <c r="T115">
        <v>21.69</v>
      </c>
      <c r="U115">
        <v>0</v>
      </c>
      <c r="V115">
        <v>0</v>
      </c>
      <c r="W115">
        <v>1.67</v>
      </c>
      <c r="X115">
        <v>45.33</v>
      </c>
      <c r="Y115">
        <v>60.03</v>
      </c>
      <c r="Z115">
        <v>707.77</v>
      </c>
      <c r="AA115">
        <v>148.62</v>
      </c>
      <c r="AB115">
        <v>0</v>
      </c>
      <c r="AC115">
        <v>606.69000000000005</v>
      </c>
      <c r="AD115">
        <v>0</v>
      </c>
      <c r="AE115">
        <v>5194.58</v>
      </c>
      <c r="AF115">
        <v>20166</v>
      </c>
      <c r="AG115" t="s">
        <v>89</v>
      </c>
      <c r="AH115" t="s">
        <v>90</v>
      </c>
      <c r="AI115" t="s">
        <v>89</v>
      </c>
      <c r="AJ115" t="s">
        <v>90</v>
      </c>
      <c r="AK115">
        <v>16565</v>
      </c>
      <c r="AL115" t="s">
        <v>47</v>
      </c>
      <c r="AM115">
        <v>1</v>
      </c>
      <c r="AN115">
        <v>1</v>
      </c>
      <c r="AO115">
        <v>2025</v>
      </c>
      <c r="AP115">
        <v>2</v>
      </c>
    </row>
    <row r="116" spans="1:42" x14ac:dyDescent="0.25">
      <c r="A116">
        <v>226.06</v>
      </c>
      <c r="B116">
        <v>5188.04</v>
      </c>
      <c r="C116">
        <v>1499.74</v>
      </c>
      <c r="D116">
        <v>537.15</v>
      </c>
      <c r="E116">
        <v>308.7</v>
      </c>
      <c r="F116">
        <v>7759.68</v>
      </c>
      <c r="G116">
        <v>8839.2900000000009</v>
      </c>
      <c r="H116">
        <v>616</v>
      </c>
      <c r="I116">
        <v>386.36</v>
      </c>
      <c r="J116">
        <v>9841.65</v>
      </c>
      <c r="K116">
        <v>17601.330000000002</v>
      </c>
      <c r="L116">
        <v>16147.62</v>
      </c>
      <c r="M116">
        <v>5634.37</v>
      </c>
      <c r="N116">
        <v>753.47</v>
      </c>
      <c r="O116">
        <v>0</v>
      </c>
      <c r="P116">
        <v>22535.46</v>
      </c>
      <c r="Q116">
        <v>69.48</v>
      </c>
      <c r="R116">
        <v>0</v>
      </c>
      <c r="S116">
        <v>420.96</v>
      </c>
      <c r="T116">
        <v>0</v>
      </c>
      <c r="U116">
        <v>0</v>
      </c>
      <c r="V116">
        <v>0</v>
      </c>
      <c r="W116">
        <v>3784.88</v>
      </c>
      <c r="X116">
        <v>4275.32</v>
      </c>
      <c r="Y116">
        <v>947.51</v>
      </c>
      <c r="Z116">
        <v>6356.06</v>
      </c>
      <c r="AA116">
        <v>313.8</v>
      </c>
      <c r="AB116">
        <v>0</v>
      </c>
      <c r="AC116">
        <v>1657.7</v>
      </c>
      <c r="AD116">
        <v>0</v>
      </c>
      <c r="AE116">
        <v>53687.17</v>
      </c>
      <c r="AF116">
        <v>20405</v>
      </c>
      <c r="AG116" t="s">
        <v>58</v>
      </c>
      <c r="AH116" t="s">
        <v>59</v>
      </c>
      <c r="AI116" t="s">
        <v>58</v>
      </c>
      <c r="AJ116" t="s">
        <v>59</v>
      </c>
      <c r="AK116">
        <v>7029</v>
      </c>
      <c r="AL116" t="s">
        <v>44</v>
      </c>
      <c r="AM116">
        <v>2</v>
      </c>
      <c r="AN116">
        <v>2</v>
      </c>
      <c r="AO116">
        <v>2025</v>
      </c>
      <c r="AP116">
        <v>4</v>
      </c>
    </row>
    <row r="117" spans="1:42" x14ac:dyDescent="0.25">
      <c r="A117">
        <v>229</v>
      </c>
      <c r="B117">
        <v>34432</v>
      </c>
      <c r="C117">
        <v>2883</v>
      </c>
      <c r="D117">
        <v>11929</v>
      </c>
      <c r="E117">
        <v>8925</v>
      </c>
      <c r="F117">
        <v>58398</v>
      </c>
      <c r="G117">
        <v>4483</v>
      </c>
      <c r="H117">
        <v>15709</v>
      </c>
      <c r="I117">
        <v>2926</v>
      </c>
      <c r="J117">
        <v>23118</v>
      </c>
      <c r="K117">
        <v>81516</v>
      </c>
      <c r="L117">
        <v>31867</v>
      </c>
      <c r="M117">
        <v>2333</v>
      </c>
      <c r="N117">
        <v>512</v>
      </c>
      <c r="O117">
        <v>560</v>
      </c>
      <c r="P117">
        <v>35272</v>
      </c>
      <c r="Q117">
        <v>2034</v>
      </c>
      <c r="R117">
        <v>210</v>
      </c>
      <c r="S117">
        <v>463</v>
      </c>
      <c r="T117">
        <v>5172</v>
      </c>
      <c r="U117">
        <v>-7</v>
      </c>
      <c r="V117">
        <v>18</v>
      </c>
      <c r="W117">
        <v>12931</v>
      </c>
      <c r="X117">
        <v>20821</v>
      </c>
      <c r="Y117">
        <v>5039</v>
      </c>
      <c r="Z117">
        <v>10580</v>
      </c>
      <c r="AA117">
        <v>9279</v>
      </c>
      <c r="AB117">
        <v>256</v>
      </c>
      <c r="AC117">
        <v>1827</v>
      </c>
      <c r="AD117">
        <v>897</v>
      </c>
      <c r="AE117">
        <v>165487</v>
      </c>
      <c r="AF117">
        <v>19393</v>
      </c>
      <c r="AG117" t="s">
        <v>99</v>
      </c>
      <c r="AH117" t="s">
        <v>100</v>
      </c>
      <c r="AI117" t="s">
        <v>99</v>
      </c>
      <c r="AJ117" t="s">
        <v>100</v>
      </c>
      <c r="AK117">
        <v>11033</v>
      </c>
      <c r="AL117" t="s">
        <v>50</v>
      </c>
      <c r="AM117">
        <v>3</v>
      </c>
      <c r="AN117">
        <v>3</v>
      </c>
      <c r="AO117">
        <v>2025</v>
      </c>
      <c r="AP117">
        <v>3</v>
      </c>
    </row>
    <row r="118" spans="1:42" x14ac:dyDescent="0.25">
      <c r="A118">
        <v>230</v>
      </c>
      <c r="B118">
        <v>39003</v>
      </c>
      <c r="C118">
        <v>3721</v>
      </c>
      <c r="D118">
        <v>15639</v>
      </c>
      <c r="E118">
        <v>12532</v>
      </c>
      <c r="F118">
        <v>71125</v>
      </c>
      <c r="G118">
        <v>5068</v>
      </c>
      <c r="H118">
        <v>19679</v>
      </c>
      <c r="I118">
        <v>5787</v>
      </c>
      <c r="J118">
        <v>30534</v>
      </c>
      <c r="K118">
        <v>101659</v>
      </c>
      <c r="L118">
        <v>38915</v>
      </c>
      <c r="M118">
        <v>3217</v>
      </c>
      <c r="N118">
        <v>513</v>
      </c>
      <c r="O118">
        <v>427</v>
      </c>
      <c r="P118">
        <v>43072</v>
      </c>
      <c r="Q118">
        <v>1909</v>
      </c>
      <c r="R118">
        <v>241</v>
      </c>
      <c r="S118">
        <v>593</v>
      </c>
      <c r="T118">
        <v>6910</v>
      </c>
      <c r="U118">
        <v>83</v>
      </c>
      <c r="V118">
        <v>23</v>
      </c>
      <c r="W118">
        <v>17112</v>
      </c>
      <c r="X118">
        <v>26871</v>
      </c>
      <c r="Y118">
        <v>5809</v>
      </c>
      <c r="Z118">
        <v>13786</v>
      </c>
      <c r="AA118">
        <v>12111</v>
      </c>
      <c r="AB118">
        <v>348</v>
      </c>
      <c r="AC118">
        <v>2250</v>
      </c>
      <c r="AD118">
        <v>1240</v>
      </c>
      <c r="AE118">
        <v>207146</v>
      </c>
      <c r="AF118">
        <v>19393</v>
      </c>
      <c r="AG118" t="s">
        <v>99</v>
      </c>
      <c r="AH118" t="s">
        <v>100</v>
      </c>
      <c r="AI118" t="s">
        <v>99</v>
      </c>
      <c r="AJ118" t="s">
        <v>100</v>
      </c>
      <c r="AK118">
        <v>11033</v>
      </c>
      <c r="AL118" t="s">
        <v>50</v>
      </c>
      <c r="AM118">
        <v>3</v>
      </c>
      <c r="AN118">
        <v>3</v>
      </c>
      <c r="AO118">
        <v>2025</v>
      </c>
      <c r="AP118">
        <v>1</v>
      </c>
    </row>
    <row r="119" spans="1:42" x14ac:dyDescent="0.25">
      <c r="A119">
        <v>235.56</v>
      </c>
      <c r="B119">
        <v>1485.86</v>
      </c>
      <c r="C119">
        <v>224.41</v>
      </c>
      <c r="D119">
        <v>523.98</v>
      </c>
      <c r="E119">
        <v>176.88</v>
      </c>
      <c r="F119">
        <v>2646.68</v>
      </c>
      <c r="G119">
        <v>265.08999999999997</v>
      </c>
      <c r="H119">
        <v>572.35</v>
      </c>
      <c r="I119">
        <v>182.14</v>
      </c>
      <c r="J119">
        <v>1019.58</v>
      </c>
      <c r="K119">
        <v>3666.26</v>
      </c>
      <c r="L119">
        <v>1825.89</v>
      </c>
      <c r="M119">
        <v>206.28</v>
      </c>
      <c r="N119">
        <v>123.4</v>
      </c>
      <c r="O119">
        <v>25.78</v>
      </c>
      <c r="P119">
        <v>2181.34</v>
      </c>
      <c r="Q119">
        <v>48.66</v>
      </c>
      <c r="R119">
        <v>212.96</v>
      </c>
      <c r="S119">
        <v>61.5</v>
      </c>
      <c r="T119">
        <v>234.74</v>
      </c>
      <c r="U119">
        <v>25.11</v>
      </c>
      <c r="V119">
        <v>0</v>
      </c>
      <c r="W119">
        <v>1396.57</v>
      </c>
      <c r="X119">
        <v>1979.54</v>
      </c>
      <c r="Y119">
        <v>120.55</v>
      </c>
      <c r="Z119">
        <v>395.91</v>
      </c>
      <c r="AA119">
        <v>1599.04</v>
      </c>
      <c r="AB119">
        <v>818.07</v>
      </c>
      <c r="AC119">
        <v>135.27000000000001</v>
      </c>
      <c r="AD119">
        <v>1.02</v>
      </c>
      <c r="AE119">
        <v>10897.01</v>
      </c>
      <c r="AF119">
        <v>20422</v>
      </c>
      <c r="AG119" t="s">
        <v>93</v>
      </c>
      <c r="AH119" t="s">
        <v>94</v>
      </c>
      <c r="AI119" t="s">
        <v>93</v>
      </c>
      <c r="AJ119" t="s">
        <v>94</v>
      </c>
      <c r="AK119">
        <v>16795</v>
      </c>
      <c r="AL119" t="s">
        <v>50</v>
      </c>
      <c r="AM119">
        <v>3</v>
      </c>
      <c r="AN119">
        <v>3</v>
      </c>
      <c r="AO119">
        <v>2025</v>
      </c>
      <c r="AP119">
        <v>2</v>
      </c>
    </row>
    <row r="120" spans="1:42" x14ac:dyDescent="0.25">
      <c r="A120">
        <v>245.91</v>
      </c>
      <c r="B120">
        <v>4412.2299999999996</v>
      </c>
      <c r="C120">
        <v>997.43</v>
      </c>
      <c r="D120">
        <v>1302.55</v>
      </c>
      <c r="E120">
        <v>1325.54</v>
      </c>
      <c r="F120">
        <v>8283.66</v>
      </c>
      <c r="G120">
        <v>855.02</v>
      </c>
      <c r="H120">
        <v>905.87</v>
      </c>
      <c r="I120">
        <v>478.79</v>
      </c>
      <c r="J120">
        <v>2239.67</v>
      </c>
      <c r="K120">
        <v>10523.33</v>
      </c>
      <c r="L120">
        <v>7119.79</v>
      </c>
      <c r="M120">
        <v>1303.76</v>
      </c>
      <c r="N120">
        <v>0</v>
      </c>
      <c r="O120">
        <v>218.12</v>
      </c>
      <c r="P120">
        <v>8641.67</v>
      </c>
      <c r="Q120">
        <v>10.039999999999999</v>
      </c>
      <c r="R120">
        <v>492.17</v>
      </c>
      <c r="S120">
        <v>270.06</v>
      </c>
      <c r="T120">
        <v>4729.99</v>
      </c>
      <c r="U120">
        <v>0</v>
      </c>
      <c r="V120">
        <v>536.34</v>
      </c>
      <c r="W120">
        <v>4244.03</v>
      </c>
      <c r="X120">
        <v>10282.61</v>
      </c>
      <c r="Y120">
        <v>695.26</v>
      </c>
      <c r="Z120">
        <v>4068.44</v>
      </c>
      <c r="AA120">
        <v>666.42</v>
      </c>
      <c r="AB120">
        <v>548.66</v>
      </c>
      <c r="AC120">
        <v>651.28</v>
      </c>
      <c r="AD120">
        <v>1424.27</v>
      </c>
      <c r="AE120">
        <v>37501.93</v>
      </c>
      <c r="AF120">
        <v>20151</v>
      </c>
      <c r="AG120" t="s">
        <v>97</v>
      </c>
      <c r="AH120" t="s">
        <v>98</v>
      </c>
      <c r="AI120" t="s">
        <v>97</v>
      </c>
      <c r="AJ120" t="s">
        <v>98</v>
      </c>
      <c r="AK120">
        <v>6052</v>
      </c>
      <c r="AL120" t="s">
        <v>44</v>
      </c>
      <c r="AM120">
        <v>2</v>
      </c>
      <c r="AN120">
        <v>2</v>
      </c>
      <c r="AO120">
        <v>2025</v>
      </c>
      <c r="AP120">
        <v>3</v>
      </c>
    </row>
    <row r="121" spans="1:42" x14ac:dyDescent="0.25">
      <c r="A121">
        <v>254.13</v>
      </c>
      <c r="B121">
        <v>30347.83</v>
      </c>
      <c r="C121">
        <v>1850.85</v>
      </c>
      <c r="D121">
        <v>4865.3999999999996</v>
      </c>
      <c r="E121">
        <v>5801.09</v>
      </c>
      <c r="F121">
        <v>43119.3</v>
      </c>
      <c r="G121">
        <v>2016.95</v>
      </c>
      <c r="H121">
        <v>2760.93</v>
      </c>
      <c r="I121">
        <v>1288.6300000000001</v>
      </c>
      <c r="J121">
        <v>6066.52</v>
      </c>
      <c r="K121">
        <v>49185.82</v>
      </c>
      <c r="L121">
        <v>11404.88</v>
      </c>
      <c r="M121">
        <v>674.41</v>
      </c>
      <c r="N121">
        <v>3973.39</v>
      </c>
      <c r="O121">
        <v>599.51</v>
      </c>
      <c r="P121">
        <v>16652.189999999999</v>
      </c>
      <c r="Q121">
        <v>829.65</v>
      </c>
      <c r="R121">
        <v>113.1</v>
      </c>
      <c r="S121">
        <v>402.24</v>
      </c>
      <c r="T121">
        <v>1585.06</v>
      </c>
      <c r="U121">
        <v>354.73</v>
      </c>
      <c r="V121">
        <v>0</v>
      </c>
      <c r="W121">
        <v>16233.7</v>
      </c>
      <c r="X121">
        <v>19518.48</v>
      </c>
      <c r="Y121">
        <v>3664.49</v>
      </c>
      <c r="Z121">
        <v>5690.44</v>
      </c>
      <c r="AA121">
        <v>4100.6400000000003</v>
      </c>
      <c r="AB121">
        <v>950.11</v>
      </c>
      <c r="AC121">
        <v>1084.52</v>
      </c>
      <c r="AD121">
        <v>43.9</v>
      </c>
      <c r="AE121">
        <v>100890.59</v>
      </c>
      <c r="AF121">
        <v>20409</v>
      </c>
      <c r="AG121" t="s">
        <v>95</v>
      </c>
      <c r="AH121" t="s">
        <v>96</v>
      </c>
      <c r="AI121" t="s">
        <v>95</v>
      </c>
      <c r="AJ121" t="s">
        <v>96</v>
      </c>
      <c r="AK121">
        <v>10875</v>
      </c>
      <c r="AL121" t="s">
        <v>53</v>
      </c>
      <c r="AM121">
        <v>3</v>
      </c>
      <c r="AN121">
        <v>3</v>
      </c>
      <c r="AO121">
        <v>2025</v>
      </c>
      <c r="AP121">
        <v>2</v>
      </c>
    </row>
    <row r="122" spans="1:42" x14ac:dyDescent="0.25">
      <c r="A122">
        <v>255.19</v>
      </c>
      <c r="B122">
        <v>1942.57</v>
      </c>
      <c r="C122">
        <v>203.08</v>
      </c>
      <c r="D122">
        <v>125.87</v>
      </c>
      <c r="E122">
        <v>187.85</v>
      </c>
      <c r="F122">
        <v>2714.57</v>
      </c>
      <c r="G122">
        <v>211.55</v>
      </c>
      <c r="H122">
        <v>101.73</v>
      </c>
      <c r="I122">
        <v>179.68</v>
      </c>
      <c r="J122">
        <v>492.96</v>
      </c>
      <c r="K122">
        <v>3207.53</v>
      </c>
      <c r="L122">
        <v>571.52</v>
      </c>
      <c r="M122">
        <v>46.91</v>
      </c>
      <c r="N122">
        <v>0</v>
      </c>
      <c r="O122">
        <v>74.14</v>
      </c>
      <c r="P122">
        <v>692.56</v>
      </c>
      <c r="Q122">
        <v>0</v>
      </c>
      <c r="R122">
        <v>4.32</v>
      </c>
      <c r="S122">
        <v>15.34</v>
      </c>
      <c r="T122">
        <v>74.989999999999995</v>
      </c>
      <c r="U122">
        <v>0</v>
      </c>
      <c r="V122">
        <v>0</v>
      </c>
      <c r="W122">
        <v>1.91</v>
      </c>
      <c r="X122">
        <v>96.56</v>
      </c>
      <c r="Y122">
        <v>57.38</v>
      </c>
      <c r="Z122">
        <v>700.21</v>
      </c>
      <c r="AA122">
        <v>146.04</v>
      </c>
      <c r="AB122">
        <v>0</v>
      </c>
      <c r="AC122">
        <v>731.15</v>
      </c>
      <c r="AD122">
        <v>0</v>
      </c>
      <c r="AE122">
        <v>5631.41</v>
      </c>
      <c r="AF122">
        <v>20166</v>
      </c>
      <c r="AG122" t="s">
        <v>89</v>
      </c>
      <c r="AH122" t="s">
        <v>90</v>
      </c>
      <c r="AI122" t="s">
        <v>89</v>
      </c>
      <c r="AJ122" t="s">
        <v>90</v>
      </c>
      <c r="AK122">
        <v>16565</v>
      </c>
      <c r="AL122" t="s">
        <v>47</v>
      </c>
      <c r="AM122">
        <v>1</v>
      </c>
      <c r="AN122">
        <v>1</v>
      </c>
      <c r="AO122">
        <v>2025</v>
      </c>
      <c r="AP122">
        <v>3</v>
      </c>
    </row>
    <row r="123" spans="1:42" x14ac:dyDescent="0.25">
      <c r="A123">
        <v>261.83</v>
      </c>
      <c r="B123">
        <v>1611.94</v>
      </c>
      <c r="C123">
        <v>851.03</v>
      </c>
      <c r="D123">
        <v>1034.17</v>
      </c>
      <c r="E123">
        <v>759.17</v>
      </c>
      <c r="F123">
        <v>4518.1400000000003</v>
      </c>
      <c r="G123">
        <v>836.02</v>
      </c>
      <c r="H123">
        <v>231.86</v>
      </c>
      <c r="I123">
        <v>360.17</v>
      </c>
      <c r="J123">
        <v>1428.04</v>
      </c>
      <c r="K123">
        <v>5946.18</v>
      </c>
      <c r="L123">
        <v>13901.88</v>
      </c>
      <c r="M123">
        <v>1443.34</v>
      </c>
      <c r="P123">
        <v>15345.22</v>
      </c>
      <c r="Q123">
        <v>0</v>
      </c>
      <c r="R123">
        <v>62.5</v>
      </c>
      <c r="S123">
        <v>390.9</v>
      </c>
      <c r="T123">
        <v>0</v>
      </c>
      <c r="V123">
        <v>0</v>
      </c>
      <c r="W123">
        <v>41.79</v>
      </c>
      <c r="X123">
        <v>495.19</v>
      </c>
      <c r="Y123">
        <v>405.36</v>
      </c>
      <c r="Z123">
        <v>4535.5</v>
      </c>
      <c r="AA123">
        <v>74.88</v>
      </c>
      <c r="AC123">
        <v>5414.66</v>
      </c>
      <c r="AD123">
        <v>0</v>
      </c>
      <c r="AE123">
        <v>32216.99</v>
      </c>
      <c r="AF123">
        <v>20195</v>
      </c>
      <c r="AG123" t="s">
        <v>83</v>
      </c>
      <c r="AH123" t="s">
        <v>84</v>
      </c>
      <c r="AI123" t="s">
        <v>83</v>
      </c>
      <c r="AJ123" t="s">
        <v>84</v>
      </c>
      <c r="AK123">
        <v>16884</v>
      </c>
      <c r="AL123" t="s">
        <v>47</v>
      </c>
      <c r="AM123">
        <v>2</v>
      </c>
      <c r="AN123">
        <v>2</v>
      </c>
      <c r="AO123">
        <v>2025</v>
      </c>
      <c r="AP123">
        <v>1</v>
      </c>
    </row>
    <row r="124" spans="1:42" x14ac:dyDescent="0.25">
      <c r="A124">
        <v>267.42</v>
      </c>
      <c r="B124">
        <v>610.79</v>
      </c>
      <c r="C124">
        <v>770.16</v>
      </c>
      <c r="D124">
        <v>376.83</v>
      </c>
      <c r="E124">
        <v>148.25</v>
      </c>
      <c r="F124">
        <v>2173.44</v>
      </c>
      <c r="G124">
        <v>0</v>
      </c>
      <c r="H124">
        <v>336.51</v>
      </c>
      <c r="I124">
        <v>172.24</v>
      </c>
      <c r="J124">
        <v>508.74</v>
      </c>
      <c r="K124">
        <v>2682.18</v>
      </c>
      <c r="L124">
        <v>3588.63</v>
      </c>
      <c r="M124">
        <v>214.41</v>
      </c>
      <c r="N124">
        <v>0</v>
      </c>
      <c r="O124">
        <v>0</v>
      </c>
      <c r="P124">
        <v>3803.05</v>
      </c>
      <c r="Q124">
        <v>-0.09</v>
      </c>
      <c r="R124">
        <v>0</v>
      </c>
      <c r="S124">
        <v>96.66</v>
      </c>
      <c r="T124">
        <v>277.48</v>
      </c>
      <c r="U124">
        <v>0</v>
      </c>
      <c r="W124">
        <v>807.15</v>
      </c>
      <c r="X124">
        <v>1181.2</v>
      </c>
      <c r="Y124">
        <v>4.99</v>
      </c>
      <c r="Z124">
        <v>63.83</v>
      </c>
      <c r="AA124">
        <v>2048.52</v>
      </c>
      <c r="AB124">
        <v>0</v>
      </c>
      <c r="AC124">
        <v>1239.8399999999999</v>
      </c>
      <c r="AD124">
        <v>0</v>
      </c>
      <c r="AE124">
        <v>11023.62</v>
      </c>
      <c r="AF124">
        <v>20447</v>
      </c>
      <c r="AG124" t="s">
        <v>87</v>
      </c>
      <c r="AH124" t="s">
        <v>88</v>
      </c>
      <c r="AI124" t="s">
        <v>87</v>
      </c>
      <c r="AJ124" t="s">
        <v>88</v>
      </c>
      <c r="AK124">
        <v>6912</v>
      </c>
      <c r="AL124" t="s">
        <v>44</v>
      </c>
      <c r="AM124">
        <v>1</v>
      </c>
      <c r="AN124">
        <v>1</v>
      </c>
      <c r="AO124">
        <v>2025</v>
      </c>
      <c r="AP124">
        <v>4</v>
      </c>
    </row>
    <row r="125" spans="1:42" x14ac:dyDescent="0.25">
      <c r="A125">
        <v>270</v>
      </c>
      <c r="B125">
        <v>31372</v>
      </c>
      <c r="C125">
        <v>2723</v>
      </c>
      <c r="D125">
        <v>11392</v>
      </c>
      <c r="E125">
        <v>8184</v>
      </c>
      <c r="F125">
        <v>53941</v>
      </c>
      <c r="G125">
        <v>4189</v>
      </c>
      <c r="H125">
        <v>16292</v>
      </c>
      <c r="I125">
        <v>2992</v>
      </c>
      <c r="J125">
        <v>23473</v>
      </c>
      <c r="K125">
        <v>77414</v>
      </c>
      <c r="L125">
        <v>28884</v>
      </c>
      <c r="M125">
        <v>2354</v>
      </c>
      <c r="N125">
        <v>398</v>
      </c>
      <c r="O125">
        <v>459</v>
      </c>
      <c r="P125">
        <v>32095</v>
      </c>
      <c r="Q125">
        <v>2172</v>
      </c>
      <c r="R125">
        <v>202</v>
      </c>
      <c r="S125">
        <v>374</v>
      </c>
      <c r="T125">
        <v>4792</v>
      </c>
      <c r="U125">
        <v>84</v>
      </c>
      <c r="V125">
        <v>15</v>
      </c>
      <c r="W125">
        <v>11600</v>
      </c>
      <c r="X125">
        <v>19239</v>
      </c>
      <c r="Y125">
        <v>4680</v>
      </c>
      <c r="Z125">
        <v>9324</v>
      </c>
      <c r="AA125">
        <v>7886</v>
      </c>
      <c r="AB125">
        <v>236</v>
      </c>
      <c r="AC125">
        <v>683</v>
      </c>
      <c r="AD125">
        <v>1196</v>
      </c>
      <c r="AE125">
        <v>152753</v>
      </c>
      <c r="AF125">
        <v>19393</v>
      </c>
      <c r="AG125" t="s">
        <v>99</v>
      </c>
      <c r="AH125" t="s">
        <v>100</v>
      </c>
      <c r="AI125" t="s">
        <v>99</v>
      </c>
      <c r="AJ125" t="s">
        <v>100</v>
      </c>
      <c r="AK125">
        <v>11033</v>
      </c>
      <c r="AL125" t="s">
        <v>50</v>
      </c>
      <c r="AM125">
        <v>3</v>
      </c>
      <c r="AN125">
        <v>3</v>
      </c>
      <c r="AO125">
        <v>2025</v>
      </c>
      <c r="AP125">
        <v>4</v>
      </c>
    </row>
    <row r="126" spans="1:42" x14ac:dyDescent="0.25">
      <c r="A126">
        <v>271.11</v>
      </c>
      <c r="B126">
        <v>1821.52</v>
      </c>
      <c r="C126">
        <v>754.68</v>
      </c>
      <c r="D126">
        <v>297.37</v>
      </c>
      <c r="E126">
        <v>0</v>
      </c>
      <c r="F126">
        <v>3144.68</v>
      </c>
      <c r="G126">
        <v>1825.77</v>
      </c>
      <c r="H126">
        <v>389.78</v>
      </c>
      <c r="I126">
        <v>333.83</v>
      </c>
      <c r="J126">
        <v>2549.38</v>
      </c>
      <c r="K126">
        <v>5694.06</v>
      </c>
      <c r="L126">
        <v>3494.15</v>
      </c>
      <c r="M126">
        <v>184.33</v>
      </c>
      <c r="N126">
        <v>203.49</v>
      </c>
      <c r="O126">
        <v>574.82000000000005</v>
      </c>
      <c r="P126">
        <v>4456.79</v>
      </c>
      <c r="Q126">
        <v>4.12</v>
      </c>
      <c r="R126">
        <v>45.6</v>
      </c>
      <c r="S126">
        <v>189.35</v>
      </c>
      <c r="T126">
        <v>948.78</v>
      </c>
      <c r="U126">
        <v>109.77</v>
      </c>
      <c r="V126">
        <v>0</v>
      </c>
      <c r="W126">
        <v>1565.86</v>
      </c>
      <c r="X126">
        <v>2863.48</v>
      </c>
      <c r="Y126">
        <v>42.73</v>
      </c>
      <c r="Z126">
        <v>147.71</v>
      </c>
      <c r="AA126">
        <v>2446.9299999999998</v>
      </c>
      <c r="AB126">
        <v>45.15</v>
      </c>
      <c r="AC126">
        <v>1142.23</v>
      </c>
      <c r="AD126">
        <v>0</v>
      </c>
      <c r="AE126">
        <v>16839.07</v>
      </c>
      <c r="AF126">
        <v>21492</v>
      </c>
      <c r="AG126" t="s">
        <v>91</v>
      </c>
      <c r="AH126" t="s">
        <v>92</v>
      </c>
      <c r="AI126" t="s">
        <v>91</v>
      </c>
      <c r="AJ126" t="s">
        <v>92</v>
      </c>
      <c r="AK126">
        <v>11019</v>
      </c>
      <c r="AL126" t="s">
        <v>47</v>
      </c>
      <c r="AM126">
        <v>1</v>
      </c>
      <c r="AN126">
        <v>1</v>
      </c>
      <c r="AO126">
        <v>2025</v>
      </c>
      <c r="AP126">
        <v>4</v>
      </c>
    </row>
    <row r="127" spans="1:42" x14ac:dyDescent="0.25">
      <c r="A127">
        <v>279.05</v>
      </c>
      <c r="B127">
        <v>1273.48</v>
      </c>
      <c r="C127">
        <v>1451.26</v>
      </c>
      <c r="D127">
        <v>1226.6400000000001</v>
      </c>
      <c r="E127">
        <v>1241.06</v>
      </c>
      <c r="F127">
        <v>5471.48</v>
      </c>
      <c r="G127">
        <v>242.19</v>
      </c>
      <c r="H127">
        <v>511.19</v>
      </c>
      <c r="I127">
        <v>412.45</v>
      </c>
      <c r="J127">
        <v>1165.82</v>
      </c>
      <c r="K127">
        <v>6637.3</v>
      </c>
      <c r="L127">
        <v>3093.4</v>
      </c>
      <c r="M127">
        <v>1085.04</v>
      </c>
      <c r="O127">
        <v>261.51</v>
      </c>
      <c r="P127">
        <v>4439.95</v>
      </c>
      <c r="Q127">
        <v>14.6</v>
      </c>
      <c r="R127">
        <v>75.14</v>
      </c>
      <c r="S127">
        <v>450.97</v>
      </c>
      <c r="T127">
        <v>316.10000000000002</v>
      </c>
      <c r="W127">
        <v>1431.87</v>
      </c>
      <c r="X127">
        <v>2288.67</v>
      </c>
      <c r="Y127">
        <v>121.02</v>
      </c>
      <c r="Z127">
        <v>2993.54</v>
      </c>
      <c r="AA127">
        <v>1348.2</v>
      </c>
      <c r="AC127">
        <v>117.49</v>
      </c>
      <c r="AD127">
        <v>246.04</v>
      </c>
      <c r="AE127">
        <v>18192.21</v>
      </c>
      <c r="AF127">
        <v>20408</v>
      </c>
      <c r="AG127" t="s">
        <v>101</v>
      </c>
      <c r="AH127" t="s">
        <v>102</v>
      </c>
      <c r="AI127" t="s">
        <v>101</v>
      </c>
      <c r="AJ127" t="s">
        <v>102</v>
      </c>
      <c r="AK127">
        <v>6860</v>
      </c>
      <c r="AL127" t="s">
        <v>44</v>
      </c>
      <c r="AM127">
        <v>1</v>
      </c>
      <c r="AN127">
        <v>1</v>
      </c>
      <c r="AO127">
        <v>2025</v>
      </c>
      <c r="AP127">
        <v>4</v>
      </c>
    </row>
    <row r="128" spans="1:42" x14ac:dyDescent="0.25">
      <c r="A128">
        <v>279.69</v>
      </c>
      <c r="B128">
        <v>1473.25</v>
      </c>
      <c r="C128">
        <v>777.72</v>
      </c>
      <c r="D128">
        <v>236.12</v>
      </c>
      <c r="E128">
        <v>0</v>
      </c>
      <c r="F128">
        <v>2766.78</v>
      </c>
      <c r="G128">
        <v>1008.83</v>
      </c>
      <c r="H128">
        <v>346.18</v>
      </c>
      <c r="I128">
        <v>192.62</v>
      </c>
      <c r="J128">
        <v>1547.62</v>
      </c>
      <c r="K128">
        <v>4314.3999999999996</v>
      </c>
      <c r="L128">
        <v>3288.07</v>
      </c>
      <c r="M128">
        <v>243.79</v>
      </c>
      <c r="N128">
        <v>288.29000000000002</v>
      </c>
      <c r="O128">
        <v>354.35</v>
      </c>
      <c r="P128">
        <v>4174.5</v>
      </c>
      <c r="Q128">
        <v>0</v>
      </c>
      <c r="R128">
        <v>14.36</v>
      </c>
      <c r="S128">
        <v>247.32</v>
      </c>
      <c r="T128">
        <v>1057.79</v>
      </c>
      <c r="U128">
        <v>108.07</v>
      </c>
      <c r="V128">
        <v>0</v>
      </c>
      <c r="W128">
        <v>1455.08</v>
      </c>
      <c r="X128">
        <v>2882.62</v>
      </c>
      <c r="Y128">
        <v>13.04</v>
      </c>
      <c r="Z128">
        <v>171.41</v>
      </c>
      <c r="AA128">
        <v>1857.82</v>
      </c>
      <c r="AB128">
        <v>92.42</v>
      </c>
      <c r="AC128">
        <v>242.23</v>
      </c>
      <c r="AD128">
        <v>0</v>
      </c>
      <c r="AE128">
        <v>13748.43</v>
      </c>
      <c r="AF128">
        <v>21492</v>
      </c>
      <c r="AG128" t="s">
        <v>91</v>
      </c>
      <c r="AH128" t="s">
        <v>92</v>
      </c>
      <c r="AI128" t="s">
        <v>91</v>
      </c>
      <c r="AJ128" t="s">
        <v>92</v>
      </c>
      <c r="AK128">
        <v>11019</v>
      </c>
      <c r="AL128" t="s">
        <v>47</v>
      </c>
      <c r="AM128">
        <v>1</v>
      </c>
      <c r="AN128">
        <v>1</v>
      </c>
      <c r="AO128">
        <v>2025</v>
      </c>
      <c r="AP128">
        <v>2</v>
      </c>
    </row>
    <row r="129" spans="1:42" x14ac:dyDescent="0.25">
      <c r="A129">
        <v>279.73</v>
      </c>
      <c r="B129">
        <v>1341.65</v>
      </c>
      <c r="C129">
        <v>1391.66</v>
      </c>
      <c r="D129">
        <v>1098.71</v>
      </c>
      <c r="E129">
        <v>1209.1300000000001</v>
      </c>
      <c r="F129">
        <v>5320.88</v>
      </c>
      <c r="G129">
        <v>249.4</v>
      </c>
      <c r="H129">
        <v>468.66</v>
      </c>
      <c r="I129">
        <v>423</v>
      </c>
      <c r="J129">
        <v>1141.06</v>
      </c>
      <c r="K129">
        <v>6461.94</v>
      </c>
      <c r="L129">
        <v>3301.34</v>
      </c>
      <c r="M129">
        <v>971.62</v>
      </c>
      <c r="O129">
        <v>192.6</v>
      </c>
      <c r="P129">
        <v>4465.5600000000004</v>
      </c>
      <c r="Q129">
        <v>20.13</v>
      </c>
      <c r="R129">
        <v>74.069999999999993</v>
      </c>
      <c r="S129">
        <v>449.59</v>
      </c>
      <c r="T129">
        <v>1962.14</v>
      </c>
      <c r="W129">
        <v>1579.58</v>
      </c>
      <c r="X129">
        <v>4085.5</v>
      </c>
      <c r="Y129">
        <v>148.29</v>
      </c>
      <c r="Z129">
        <v>2862.57</v>
      </c>
      <c r="AA129">
        <v>1348.2</v>
      </c>
      <c r="AC129">
        <v>73.86</v>
      </c>
      <c r="AD129">
        <v>93.44</v>
      </c>
      <c r="AE129">
        <v>19539.349999999999</v>
      </c>
      <c r="AF129">
        <v>20408</v>
      </c>
      <c r="AG129" t="s">
        <v>101</v>
      </c>
      <c r="AH129" t="s">
        <v>102</v>
      </c>
      <c r="AI129" t="s">
        <v>101</v>
      </c>
      <c r="AJ129" t="s">
        <v>102</v>
      </c>
      <c r="AK129">
        <v>6860</v>
      </c>
      <c r="AL129" t="s">
        <v>44</v>
      </c>
      <c r="AM129">
        <v>1</v>
      </c>
      <c r="AN129">
        <v>1</v>
      </c>
      <c r="AO129">
        <v>2025</v>
      </c>
      <c r="AP129">
        <v>3</v>
      </c>
    </row>
    <row r="130" spans="1:42" x14ac:dyDescent="0.25">
      <c r="A130">
        <v>281.64999999999998</v>
      </c>
      <c r="B130">
        <v>3622.46</v>
      </c>
      <c r="C130">
        <v>1059.3499999999999</v>
      </c>
      <c r="D130">
        <v>1284.6099999999999</v>
      </c>
      <c r="E130">
        <v>1466</v>
      </c>
      <c r="F130">
        <v>7714.07</v>
      </c>
      <c r="G130">
        <v>960.62</v>
      </c>
      <c r="H130">
        <v>826.24</v>
      </c>
      <c r="I130">
        <v>564.76</v>
      </c>
      <c r="J130">
        <v>2351.62</v>
      </c>
      <c r="K130">
        <v>10065.69</v>
      </c>
      <c r="L130">
        <v>7359.03</v>
      </c>
      <c r="M130">
        <v>1068.28</v>
      </c>
      <c r="N130">
        <v>0</v>
      </c>
      <c r="O130">
        <v>196.52</v>
      </c>
      <c r="P130">
        <v>8623.84</v>
      </c>
      <c r="Q130">
        <v>25.97</v>
      </c>
      <c r="R130">
        <v>437.2</v>
      </c>
      <c r="S130">
        <v>287.76</v>
      </c>
      <c r="T130">
        <v>4910.49</v>
      </c>
      <c r="U130">
        <v>0</v>
      </c>
      <c r="V130">
        <v>502.76</v>
      </c>
      <c r="W130">
        <v>4114.0200000000004</v>
      </c>
      <c r="X130">
        <v>10278.200000000001</v>
      </c>
      <c r="Y130">
        <v>585.16999999999996</v>
      </c>
      <c r="Z130">
        <v>4486.26</v>
      </c>
      <c r="AA130">
        <v>679.4</v>
      </c>
      <c r="AB130">
        <v>573.30999999999995</v>
      </c>
      <c r="AC130">
        <v>740.74</v>
      </c>
      <c r="AD130">
        <v>1772.49</v>
      </c>
      <c r="AE130">
        <v>37805.08</v>
      </c>
      <c r="AF130">
        <v>20151</v>
      </c>
      <c r="AG130" t="s">
        <v>97</v>
      </c>
      <c r="AH130" t="s">
        <v>98</v>
      </c>
      <c r="AI130" t="s">
        <v>97</v>
      </c>
      <c r="AJ130" t="s">
        <v>98</v>
      </c>
      <c r="AK130">
        <v>6052</v>
      </c>
      <c r="AL130" t="s">
        <v>44</v>
      </c>
      <c r="AM130">
        <v>2</v>
      </c>
      <c r="AN130">
        <v>2</v>
      </c>
      <c r="AO130">
        <v>2025</v>
      </c>
      <c r="AP130">
        <v>2</v>
      </c>
    </row>
    <row r="131" spans="1:42" x14ac:dyDescent="0.25">
      <c r="A131">
        <v>282.99</v>
      </c>
      <c r="B131">
        <v>37870.17</v>
      </c>
      <c r="C131">
        <v>2547.63</v>
      </c>
      <c r="D131">
        <v>6366.66</v>
      </c>
      <c r="E131">
        <v>6029.23</v>
      </c>
      <c r="F131">
        <v>53096.68</v>
      </c>
      <c r="G131">
        <v>2351.0700000000002</v>
      </c>
      <c r="H131">
        <v>3972.89</v>
      </c>
      <c r="I131">
        <v>1716.39</v>
      </c>
      <c r="J131">
        <v>8040.36</v>
      </c>
      <c r="K131">
        <v>61137.03</v>
      </c>
      <c r="L131">
        <v>15873.93</v>
      </c>
      <c r="M131">
        <v>1008.44</v>
      </c>
      <c r="N131">
        <v>5621.66</v>
      </c>
      <c r="O131">
        <v>794.33</v>
      </c>
      <c r="P131">
        <v>23298.37</v>
      </c>
      <c r="Q131">
        <v>1021.14</v>
      </c>
      <c r="R131">
        <v>149.03</v>
      </c>
      <c r="S131">
        <v>500.62</v>
      </c>
      <c r="T131">
        <v>2474.8200000000002</v>
      </c>
      <c r="U131">
        <v>465.36</v>
      </c>
      <c r="V131">
        <v>0</v>
      </c>
      <c r="W131">
        <v>20334.09</v>
      </c>
      <c r="X131">
        <v>24945.07</v>
      </c>
      <c r="Y131">
        <v>4772.05</v>
      </c>
      <c r="Z131">
        <v>7266.92</v>
      </c>
      <c r="AA131">
        <v>5293.67</v>
      </c>
      <c r="AB131">
        <v>1118.0899999999999</v>
      </c>
      <c r="AC131">
        <v>1845.09</v>
      </c>
      <c r="AD131">
        <v>58.93</v>
      </c>
      <c r="AE131">
        <v>129735.2</v>
      </c>
      <c r="AF131">
        <v>20409</v>
      </c>
      <c r="AG131" t="s">
        <v>95</v>
      </c>
      <c r="AH131" t="s">
        <v>96</v>
      </c>
      <c r="AI131" t="s">
        <v>95</v>
      </c>
      <c r="AJ131" t="s">
        <v>96</v>
      </c>
      <c r="AK131">
        <v>10875</v>
      </c>
      <c r="AL131" t="s">
        <v>53</v>
      </c>
      <c r="AM131">
        <v>3</v>
      </c>
      <c r="AN131">
        <v>3</v>
      </c>
      <c r="AO131">
        <v>2025</v>
      </c>
      <c r="AP131">
        <v>3</v>
      </c>
    </row>
    <row r="132" spans="1:42" x14ac:dyDescent="0.25">
      <c r="A132">
        <v>287.24</v>
      </c>
      <c r="B132">
        <v>1323.58</v>
      </c>
      <c r="C132">
        <v>1614.99</v>
      </c>
      <c r="D132">
        <v>1179.19</v>
      </c>
      <c r="E132">
        <v>1135.29</v>
      </c>
      <c r="F132">
        <v>5540.29</v>
      </c>
      <c r="G132">
        <v>215.81</v>
      </c>
      <c r="H132">
        <v>624.21</v>
      </c>
      <c r="I132">
        <v>450.27</v>
      </c>
      <c r="J132">
        <v>1290.29</v>
      </c>
      <c r="K132">
        <v>6830.58</v>
      </c>
      <c r="L132">
        <v>2654.19</v>
      </c>
      <c r="M132">
        <v>1387.66</v>
      </c>
      <c r="O132">
        <v>279.74</v>
      </c>
      <c r="P132">
        <v>4321.59</v>
      </c>
      <c r="Q132">
        <v>2.46</v>
      </c>
      <c r="R132">
        <v>75.819999999999993</v>
      </c>
      <c r="S132">
        <v>450.06</v>
      </c>
      <c r="T132">
        <v>2582.98</v>
      </c>
      <c r="W132">
        <v>1250.18</v>
      </c>
      <c r="X132">
        <v>4361.5</v>
      </c>
      <c r="Y132">
        <v>115.4</v>
      </c>
      <c r="Z132">
        <v>2288.1</v>
      </c>
      <c r="AA132">
        <v>1348.2</v>
      </c>
      <c r="AC132">
        <v>16.59</v>
      </c>
      <c r="AD132">
        <v>106.5</v>
      </c>
      <c r="AE132">
        <v>19388.46</v>
      </c>
      <c r="AF132">
        <v>20408</v>
      </c>
      <c r="AG132" t="s">
        <v>101</v>
      </c>
      <c r="AH132" t="s">
        <v>102</v>
      </c>
      <c r="AI132" t="s">
        <v>101</v>
      </c>
      <c r="AJ132" t="s">
        <v>102</v>
      </c>
      <c r="AK132">
        <v>6860</v>
      </c>
      <c r="AL132" t="s">
        <v>44</v>
      </c>
      <c r="AM132">
        <v>1</v>
      </c>
      <c r="AN132">
        <v>1</v>
      </c>
      <c r="AO132">
        <v>2025</v>
      </c>
      <c r="AP132">
        <v>2</v>
      </c>
    </row>
    <row r="133" spans="1:42" x14ac:dyDescent="0.25">
      <c r="A133">
        <v>289.95999999999998</v>
      </c>
      <c r="B133">
        <v>3564.13</v>
      </c>
      <c r="C133">
        <v>612.01</v>
      </c>
      <c r="D133">
        <v>57.55</v>
      </c>
      <c r="E133">
        <v>0</v>
      </c>
      <c r="F133">
        <v>4523.6499999999996</v>
      </c>
      <c r="G133">
        <v>850.15</v>
      </c>
      <c r="H133">
        <v>713.55</v>
      </c>
      <c r="I133">
        <v>342.6</v>
      </c>
      <c r="J133">
        <v>1906.3</v>
      </c>
      <c r="K133">
        <v>6429.95</v>
      </c>
      <c r="L133">
        <v>16.61</v>
      </c>
      <c r="M133">
        <v>1033.28</v>
      </c>
      <c r="N133">
        <v>2.5299999999999998</v>
      </c>
      <c r="O133">
        <v>174.09</v>
      </c>
      <c r="P133">
        <v>1226.51</v>
      </c>
      <c r="Q133">
        <v>4.01</v>
      </c>
      <c r="R133">
        <v>0</v>
      </c>
      <c r="S133">
        <v>74.48</v>
      </c>
      <c r="T133">
        <v>1227.3699999999999</v>
      </c>
      <c r="U133">
        <v>0</v>
      </c>
      <c r="V133">
        <v>0</v>
      </c>
      <c r="W133">
        <v>70.33</v>
      </c>
      <c r="X133">
        <v>1376.19</v>
      </c>
      <c r="Y133">
        <v>1.39</v>
      </c>
      <c r="Z133">
        <v>60.37</v>
      </c>
      <c r="AA133">
        <v>338.69</v>
      </c>
      <c r="AB133">
        <v>21.7</v>
      </c>
      <c r="AC133">
        <v>581.39</v>
      </c>
      <c r="AD133">
        <v>0</v>
      </c>
      <c r="AE133">
        <v>10036.18</v>
      </c>
      <c r="AF133">
        <v>20304</v>
      </c>
      <c r="AG133" t="s">
        <v>103</v>
      </c>
      <c r="AH133" t="s">
        <v>104</v>
      </c>
      <c r="AI133" t="s">
        <v>103</v>
      </c>
      <c r="AJ133" t="s">
        <v>104</v>
      </c>
      <c r="AK133">
        <v>11025</v>
      </c>
      <c r="AL133" t="s">
        <v>50</v>
      </c>
      <c r="AM133">
        <v>3</v>
      </c>
      <c r="AN133">
        <v>3</v>
      </c>
      <c r="AO133">
        <v>2025</v>
      </c>
      <c r="AP133">
        <v>2</v>
      </c>
    </row>
    <row r="134" spans="1:42" x14ac:dyDescent="0.25">
      <c r="A134">
        <v>290.66000000000003</v>
      </c>
      <c r="B134">
        <v>3311.95</v>
      </c>
      <c r="C134">
        <v>607.4</v>
      </c>
      <c r="D134">
        <v>74.239999999999995</v>
      </c>
      <c r="E134">
        <v>0</v>
      </c>
      <c r="F134">
        <v>4284.25</v>
      </c>
      <c r="G134">
        <v>812.11</v>
      </c>
      <c r="H134">
        <v>666.73</v>
      </c>
      <c r="I134">
        <v>306.95</v>
      </c>
      <c r="J134">
        <v>1785.8</v>
      </c>
      <c r="K134">
        <v>6070.05</v>
      </c>
      <c r="L134">
        <v>8.99</v>
      </c>
      <c r="M134">
        <v>1149.18</v>
      </c>
      <c r="N134">
        <v>2.44</v>
      </c>
      <c r="O134">
        <v>190.89</v>
      </c>
      <c r="P134">
        <v>1351.5</v>
      </c>
      <c r="Q134">
        <v>3.13</v>
      </c>
      <c r="R134">
        <v>0</v>
      </c>
      <c r="S134">
        <v>71.25</v>
      </c>
      <c r="T134">
        <v>1239.3900000000001</v>
      </c>
      <c r="U134">
        <v>0</v>
      </c>
      <c r="V134">
        <v>0</v>
      </c>
      <c r="W134">
        <v>50.23</v>
      </c>
      <c r="X134">
        <v>1364</v>
      </c>
      <c r="Y134">
        <v>2.44</v>
      </c>
      <c r="Z134">
        <v>67.28</v>
      </c>
      <c r="AA134">
        <v>343.91</v>
      </c>
      <c r="AB134">
        <v>20.239999999999998</v>
      </c>
      <c r="AC134">
        <v>501.5</v>
      </c>
      <c r="AD134">
        <v>0</v>
      </c>
      <c r="AE134">
        <v>9720.91</v>
      </c>
      <c r="AF134">
        <v>20304</v>
      </c>
      <c r="AG134" t="s">
        <v>103</v>
      </c>
      <c r="AH134" t="s">
        <v>104</v>
      </c>
      <c r="AI134" t="s">
        <v>103</v>
      </c>
      <c r="AJ134" t="s">
        <v>104</v>
      </c>
      <c r="AK134">
        <v>11025</v>
      </c>
      <c r="AL134" t="s">
        <v>50</v>
      </c>
      <c r="AM134">
        <v>3</v>
      </c>
      <c r="AN134">
        <v>3</v>
      </c>
      <c r="AO134">
        <v>2025</v>
      </c>
      <c r="AP134">
        <v>3</v>
      </c>
    </row>
    <row r="135" spans="1:42" x14ac:dyDescent="0.25">
      <c r="A135">
        <v>302.13</v>
      </c>
      <c r="B135">
        <v>1308.47</v>
      </c>
      <c r="C135">
        <v>1663.53</v>
      </c>
      <c r="D135">
        <v>1090.52</v>
      </c>
      <c r="E135">
        <v>1140.6099999999999</v>
      </c>
      <c r="F135">
        <v>5505.25</v>
      </c>
      <c r="G135">
        <v>262.06</v>
      </c>
      <c r="H135">
        <v>499.45</v>
      </c>
      <c r="I135">
        <v>450.19</v>
      </c>
      <c r="J135">
        <v>1211.69</v>
      </c>
      <c r="K135">
        <v>6716.95</v>
      </c>
      <c r="L135">
        <v>3182.1</v>
      </c>
      <c r="M135">
        <v>1277.8699999999999</v>
      </c>
      <c r="O135">
        <v>444.81</v>
      </c>
      <c r="P135">
        <v>4904.78</v>
      </c>
      <c r="Q135">
        <v>9.67</v>
      </c>
      <c r="R135">
        <v>70</v>
      </c>
      <c r="S135">
        <v>634.35</v>
      </c>
      <c r="T135">
        <v>1641.03</v>
      </c>
      <c r="W135">
        <v>1351.81</v>
      </c>
      <c r="X135">
        <v>3706.85</v>
      </c>
      <c r="Y135">
        <v>137.53</v>
      </c>
      <c r="Z135">
        <v>2928.07</v>
      </c>
      <c r="AA135">
        <v>1344.29</v>
      </c>
      <c r="AC135">
        <v>215.86</v>
      </c>
      <c r="AD135">
        <v>58.18</v>
      </c>
      <c r="AE135">
        <v>20012.490000000002</v>
      </c>
      <c r="AF135">
        <v>20408</v>
      </c>
      <c r="AG135" t="s">
        <v>101</v>
      </c>
      <c r="AH135" t="s">
        <v>102</v>
      </c>
      <c r="AI135" t="s">
        <v>101</v>
      </c>
      <c r="AJ135" t="s">
        <v>102</v>
      </c>
      <c r="AK135">
        <v>6860</v>
      </c>
      <c r="AL135" t="s">
        <v>44</v>
      </c>
      <c r="AM135">
        <v>1</v>
      </c>
      <c r="AN135">
        <v>1</v>
      </c>
      <c r="AO135">
        <v>2025</v>
      </c>
      <c r="AP135">
        <v>1</v>
      </c>
    </row>
    <row r="136" spans="1:42" x14ac:dyDescent="0.25">
      <c r="A136">
        <v>302.85000000000002</v>
      </c>
      <c r="B136">
        <v>13610</v>
      </c>
      <c r="C136">
        <v>6437.9</v>
      </c>
      <c r="D136">
        <v>197.13</v>
      </c>
      <c r="E136">
        <v>1027.98</v>
      </c>
      <c r="F136">
        <v>21575.86</v>
      </c>
      <c r="G136">
        <v>3731.1</v>
      </c>
      <c r="H136">
        <v>5577.78</v>
      </c>
      <c r="I136">
        <v>1705.5</v>
      </c>
      <c r="J136">
        <v>11014.38</v>
      </c>
      <c r="K136">
        <v>32590.240000000002</v>
      </c>
      <c r="L136">
        <v>417.39</v>
      </c>
      <c r="M136">
        <v>13794.8</v>
      </c>
      <c r="N136">
        <v>0</v>
      </c>
      <c r="O136">
        <v>237.73</v>
      </c>
      <c r="P136">
        <v>14449.92</v>
      </c>
      <c r="Q136">
        <v>0</v>
      </c>
      <c r="R136">
        <v>99</v>
      </c>
      <c r="S136">
        <v>569.76</v>
      </c>
      <c r="T136">
        <v>505.19</v>
      </c>
      <c r="U136">
        <v>0</v>
      </c>
      <c r="V136">
        <v>0</v>
      </c>
      <c r="W136">
        <v>6853.57</v>
      </c>
      <c r="X136">
        <v>8027.52</v>
      </c>
      <c r="Y136">
        <v>0</v>
      </c>
      <c r="Z136">
        <v>4565.72</v>
      </c>
      <c r="AA136">
        <v>4309</v>
      </c>
      <c r="AB136">
        <v>0</v>
      </c>
      <c r="AC136">
        <v>308.35000000000002</v>
      </c>
      <c r="AD136">
        <v>2062.36</v>
      </c>
      <c r="AE136">
        <v>66313.100000000006</v>
      </c>
      <c r="AF136">
        <v>20453</v>
      </c>
      <c r="AG136" t="s">
        <v>75</v>
      </c>
      <c r="AH136" t="s">
        <v>76</v>
      </c>
      <c r="AI136" t="s">
        <v>75</v>
      </c>
      <c r="AJ136" t="s">
        <v>76</v>
      </c>
      <c r="AK136">
        <v>80006</v>
      </c>
      <c r="AL136" t="s">
        <v>44</v>
      </c>
      <c r="AM136">
        <v>2</v>
      </c>
      <c r="AN136">
        <v>2</v>
      </c>
      <c r="AO136">
        <v>2025</v>
      </c>
      <c r="AP136">
        <v>1</v>
      </c>
    </row>
    <row r="137" spans="1:42" x14ac:dyDescent="0.25">
      <c r="A137">
        <v>311.01</v>
      </c>
      <c r="B137">
        <v>12561.67</v>
      </c>
      <c r="C137">
        <v>7427.57</v>
      </c>
      <c r="D137">
        <v>160.09</v>
      </c>
      <c r="E137">
        <v>1124.28</v>
      </c>
      <c r="F137">
        <v>21584.62</v>
      </c>
      <c r="G137">
        <v>3629.99</v>
      </c>
      <c r="H137">
        <v>5212.47</v>
      </c>
      <c r="I137">
        <v>932.6</v>
      </c>
      <c r="J137">
        <v>9775.06</v>
      </c>
      <c r="K137">
        <v>31359.68</v>
      </c>
      <c r="L137">
        <v>293.95</v>
      </c>
      <c r="M137">
        <v>12379.1</v>
      </c>
      <c r="N137">
        <v>0</v>
      </c>
      <c r="O137">
        <v>232.6</v>
      </c>
      <c r="P137">
        <v>12905.65</v>
      </c>
      <c r="Q137">
        <v>0</v>
      </c>
      <c r="R137">
        <v>86.92</v>
      </c>
      <c r="S137">
        <v>589.12</v>
      </c>
      <c r="T137">
        <v>378.71</v>
      </c>
      <c r="U137">
        <v>0</v>
      </c>
      <c r="V137">
        <v>0</v>
      </c>
      <c r="W137">
        <v>5918.46</v>
      </c>
      <c r="X137">
        <v>6973.21</v>
      </c>
      <c r="Y137">
        <v>22.12</v>
      </c>
      <c r="Z137">
        <v>4720.46</v>
      </c>
      <c r="AA137">
        <v>4968.82</v>
      </c>
      <c r="AB137">
        <v>0</v>
      </c>
      <c r="AC137">
        <v>254.87</v>
      </c>
      <c r="AD137">
        <v>2640.48</v>
      </c>
      <c r="AE137">
        <v>63845.279999999999</v>
      </c>
      <c r="AF137">
        <v>20453</v>
      </c>
      <c r="AG137" t="s">
        <v>75</v>
      </c>
      <c r="AH137" t="s">
        <v>76</v>
      </c>
      <c r="AI137" t="s">
        <v>75</v>
      </c>
      <c r="AJ137" t="s">
        <v>76</v>
      </c>
      <c r="AK137">
        <v>80006</v>
      </c>
      <c r="AL137" t="s">
        <v>44</v>
      </c>
      <c r="AM137">
        <v>2</v>
      </c>
      <c r="AN137">
        <v>2</v>
      </c>
      <c r="AO137">
        <v>2025</v>
      </c>
      <c r="AP137">
        <v>4</v>
      </c>
    </row>
    <row r="138" spans="1:42" x14ac:dyDescent="0.25">
      <c r="A138">
        <v>316.33</v>
      </c>
      <c r="B138">
        <v>3767.67</v>
      </c>
      <c r="C138">
        <v>1054.56</v>
      </c>
      <c r="D138">
        <v>13.42</v>
      </c>
      <c r="E138">
        <v>0</v>
      </c>
      <c r="F138">
        <v>5151.9799999999996</v>
      </c>
      <c r="G138">
        <v>495.53</v>
      </c>
      <c r="H138">
        <v>470.69</v>
      </c>
      <c r="I138">
        <v>395.42</v>
      </c>
      <c r="J138">
        <v>1361.64</v>
      </c>
      <c r="K138">
        <v>6513.62</v>
      </c>
      <c r="L138">
        <v>-1.39</v>
      </c>
      <c r="M138">
        <v>181.24</v>
      </c>
      <c r="N138">
        <v>0</v>
      </c>
      <c r="O138">
        <v>0</v>
      </c>
      <c r="P138">
        <v>179.85</v>
      </c>
      <c r="Q138">
        <v>0</v>
      </c>
      <c r="R138">
        <v>0</v>
      </c>
      <c r="S138">
        <v>186.06</v>
      </c>
      <c r="T138">
        <v>0</v>
      </c>
      <c r="U138">
        <v>0</v>
      </c>
      <c r="V138">
        <v>0</v>
      </c>
      <c r="W138">
        <v>0</v>
      </c>
      <c r="X138">
        <v>186.06</v>
      </c>
      <c r="Y138">
        <v>0</v>
      </c>
      <c r="Z138">
        <v>523.4</v>
      </c>
      <c r="AA138">
        <v>70.83</v>
      </c>
      <c r="AB138">
        <v>0</v>
      </c>
      <c r="AC138">
        <v>6096.66</v>
      </c>
      <c r="AD138">
        <v>0</v>
      </c>
      <c r="AE138">
        <v>13570.41</v>
      </c>
      <c r="AF138">
        <v>20378</v>
      </c>
      <c r="AG138" t="s">
        <v>67</v>
      </c>
      <c r="AH138" t="s">
        <v>68</v>
      </c>
      <c r="AI138" t="s">
        <v>67</v>
      </c>
      <c r="AJ138" t="s">
        <v>68</v>
      </c>
      <c r="AK138">
        <v>11022</v>
      </c>
      <c r="AL138" t="s">
        <v>50</v>
      </c>
      <c r="AM138">
        <v>2</v>
      </c>
      <c r="AN138">
        <v>2</v>
      </c>
      <c r="AO138">
        <v>2025</v>
      </c>
      <c r="AP138">
        <v>1</v>
      </c>
    </row>
    <row r="139" spans="1:42" x14ac:dyDescent="0.25">
      <c r="A139">
        <v>320.44</v>
      </c>
      <c r="B139">
        <v>13947.37</v>
      </c>
      <c r="C139">
        <v>4178.59</v>
      </c>
      <c r="D139">
        <v>1675.57</v>
      </c>
      <c r="E139">
        <v>1779.55</v>
      </c>
      <c r="F139">
        <v>21901.53</v>
      </c>
      <c r="G139">
        <v>12387.71</v>
      </c>
      <c r="H139">
        <v>3594.33</v>
      </c>
      <c r="I139">
        <v>1208.46</v>
      </c>
      <c r="J139">
        <v>17190.490000000002</v>
      </c>
      <c r="K139">
        <v>39092.019999999997</v>
      </c>
      <c r="L139">
        <v>18864.64</v>
      </c>
      <c r="M139">
        <v>313.82</v>
      </c>
      <c r="N139">
        <v>4418.2299999999996</v>
      </c>
      <c r="O139">
        <v>1465.88</v>
      </c>
      <c r="P139">
        <v>25062.57</v>
      </c>
      <c r="Q139">
        <v>2.56</v>
      </c>
      <c r="R139">
        <v>172.4</v>
      </c>
      <c r="S139">
        <v>424.48</v>
      </c>
      <c r="T139">
        <v>0</v>
      </c>
      <c r="U139">
        <v>1951.61</v>
      </c>
      <c r="V139">
        <v>0</v>
      </c>
      <c r="W139">
        <v>4271.6400000000003</v>
      </c>
      <c r="X139">
        <v>6822.69</v>
      </c>
      <c r="Y139">
        <v>887.56</v>
      </c>
      <c r="Z139">
        <v>10459.209999999999</v>
      </c>
      <c r="AA139">
        <v>9780.59</v>
      </c>
      <c r="AB139">
        <v>297.77</v>
      </c>
      <c r="AC139">
        <v>13345.59</v>
      </c>
      <c r="AD139">
        <v>29.22</v>
      </c>
      <c r="AE139">
        <v>105777.22</v>
      </c>
      <c r="AF139">
        <v>20377</v>
      </c>
      <c r="AG139" t="s">
        <v>69</v>
      </c>
      <c r="AH139" t="s">
        <v>70</v>
      </c>
      <c r="AI139" t="s">
        <v>69</v>
      </c>
      <c r="AJ139" t="s">
        <v>70</v>
      </c>
      <c r="AK139">
        <v>16736</v>
      </c>
      <c r="AL139" t="s">
        <v>47</v>
      </c>
      <c r="AM139">
        <v>2</v>
      </c>
      <c r="AN139">
        <v>2</v>
      </c>
      <c r="AO139">
        <v>2025</v>
      </c>
      <c r="AP139">
        <v>4</v>
      </c>
    </row>
    <row r="140" spans="1:42" x14ac:dyDescent="0.25">
      <c r="A140">
        <v>320.98</v>
      </c>
      <c r="B140">
        <v>67455.08</v>
      </c>
      <c r="C140">
        <v>20579.34</v>
      </c>
      <c r="D140">
        <v>19311.84</v>
      </c>
      <c r="E140">
        <v>17928.64</v>
      </c>
      <c r="F140">
        <v>125595.89</v>
      </c>
      <c r="G140">
        <v>10270.959999999999</v>
      </c>
      <c r="H140">
        <v>36168.75</v>
      </c>
      <c r="I140">
        <v>6872.52</v>
      </c>
      <c r="J140">
        <v>53312.24</v>
      </c>
      <c r="K140">
        <v>178908.12</v>
      </c>
      <c r="L140">
        <v>89995.32</v>
      </c>
      <c r="M140">
        <v>13233.47</v>
      </c>
      <c r="N140">
        <v>13100</v>
      </c>
      <c r="O140">
        <v>731.62</v>
      </c>
      <c r="P140">
        <v>117060.41</v>
      </c>
      <c r="Q140">
        <v>1980.11</v>
      </c>
      <c r="R140">
        <v>5090.3599999999997</v>
      </c>
      <c r="S140">
        <v>998.89</v>
      </c>
      <c r="T140">
        <v>25642.32</v>
      </c>
      <c r="U140">
        <v>2329.27</v>
      </c>
      <c r="V140">
        <v>0</v>
      </c>
      <c r="W140">
        <v>43653.26</v>
      </c>
      <c r="X140">
        <v>79694.210000000006</v>
      </c>
      <c r="Y140">
        <v>11411.69</v>
      </c>
      <c r="Z140">
        <v>34627.03</v>
      </c>
      <c r="AA140">
        <v>17045.080000000002</v>
      </c>
      <c r="AB140">
        <v>878.81</v>
      </c>
      <c r="AC140">
        <v>4229.1099999999997</v>
      </c>
      <c r="AD140">
        <v>1337.53</v>
      </c>
      <c r="AE140">
        <v>445192</v>
      </c>
      <c r="AF140">
        <v>19805</v>
      </c>
      <c r="AG140" t="s">
        <v>105</v>
      </c>
      <c r="AH140" t="s">
        <v>106</v>
      </c>
      <c r="AI140" t="s">
        <v>105</v>
      </c>
      <c r="AJ140" t="s">
        <v>106</v>
      </c>
      <c r="AK140">
        <v>10052</v>
      </c>
      <c r="AL140" t="s">
        <v>64</v>
      </c>
      <c r="AM140">
        <v>3</v>
      </c>
      <c r="AN140">
        <v>3</v>
      </c>
      <c r="AO140">
        <v>2025</v>
      </c>
      <c r="AP140">
        <v>3</v>
      </c>
    </row>
    <row r="141" spans="1:42" x14ac:dyDescent="0.25">
      <c r="A141">
        <v>324.22000000000003</v>
      </c>
      <c r="B141">
        <v>14825.9</v>
      </c>
      <c r="C141">
        <v>4808.9799999999996</v>
      </c>
      <c r="D141">
        <v>2189.21</v>
      </c>
      <c r="E141">
        <v>2244.98</v>
      </c>
      <c r="F141">
        <v>24393.279999999999</v>
      </c>
      <c r="G141">
        <v>14460.11</v>
      </c>
      <c r="H141">
        <v>4542.8599999999997</v>
      </c>
      <c r="I141">
        <v>1772.3</v>
      </c>
      <c r="J141">
        <v>20775.259999999998</v>
      </c>
      <c r="K141">
        <v>45168.54</v>
      </c>
      <c r="L141">
        <v>27297.69</v>
      </c>
      <c r="M141">
        <v>323.33</v>
      </c>
      <c r="N141">
        <v>4766.72</v>
      </c>
      <c r="O141">
        <v>2488.54</v>
      </c>
      <c r="P141">
        <v>34876.269999999997</v>
      </c>
      <c r="Q141">
        <v>7.35</v>
      </c>
      <c r="R141">
        <v>125.55</v>
      </c>
      <c r="S141">
        <v>1066.52</v>
      </c>
      <c r="T141">
        <v>0</v>
      </c>
      <c r="U141">
        <v>3307.47</v>
      </c>
      <c r="V141">
        <v>0</v>
      </c>
      <c r="W141">
        <v>5094.74</v>
      </c>
      <c r="X141">
        <v>9601.6200000000008</v>
      </c>
      <c r="Y141">
        <v>1078.2</v>
      </c>
      <c r="Z141">
        <v>11645.85</v>
      </c>
      <c r="AA141">
        <v>7166.15</v>
      </c>
      <c r="AB141">
        <v>408.4</v>
      </c>
      <c r="AC141">
        <v>13470.53</v>
      </c>
      <c r="AD141">
        <v>19.48</v>
      </c>
      <c r="AE141">
        <v>123435.04</v>
      </c>
      <c r="AF141">
        <v>20377</v>
      </c>
      <c r="AG141" t="s">
        <v>69</v>
      </c>
      <c r="AH141" t="s">
        <v>70</v>
      </c>
      <c r="AI141" t="s">
        <v>69</v>
      </c>
      <c r="AJ141" t="s">
        <v>70</v>
      </c>
      <c r="AK141">
        <v>16736</v>
      </c>
      <c r="AL141" t="s">
        <v>47</v>
      </c>
      <c r="AM141">
        <v>2</v>
      </c>
      <c r="AN141">
        <v>2</v>
      </c>
      <c r="AO141">
        <v>2025</v>
      </c>
      <c r="AP141">
        <v>2</v>
      </c>
    </row>
    <row r="142" spans="1:42" x14ac:dyDescent="0.25">
      <c r="A142">
        <v>328.02</v>
      </c>
      <c r="B142">
        <v>2545.7800000000002</v>
      </c>
      <c r="C142">
        <v>288.25</v>
      </c>
      <c r="D142">
        <v>850.82</v>
      </c>
      <c r="E142">
        <v>266.52</v>
      </c>
      <c r="F142">
        <v>4279.3900000000003</v>
      </c>
      <c r="G142">
        <v>455.01</v>
      </c>
      <c r="H142">
        <v>891.49</v>
      </c>
      <c r="I142">
        <v>244.06</v>
      </c>
      <c r="J142">
        <v>1590.55</v>
      </c>
      <c r="K142">
        <v>5869.95</v>
      </c>
      <c r="L142">
        <v>2646.24</v>
      </c>
      <c r="M142">
        <v>290.64999999999998</v>
      </c>
      <c r="N142">
        <v>209.52</v>
      </c>
      <c r="O142">
        <v>53.75</v>
      </c>
      <c r="P142">
        <v>3200.17</v>
      </c>
      <c r="Q142">
        <v>62.68</v>
      </c>
      <c r="R142">
        <v>107.57</v>
      </c>
      <c r="S142">
        <v>83.17</v>
      </c>
      <c r="T142">
        <v>609.05999999999995</v>
      </c>
      <c r="U142">
        <v>45.28</v>
      </c>
      <c r="V142">
        <v>0</v>
      </c>
      <c r="W142">
        <v>1334.04</v>
      </c>
      <c r="X142">
        <v>2241.8000000000002</v>
      </c>
      <c r="Y142">
        <v>91.2</v>
      </c>
      <c r="Z142">
        <v>321.92</v>
      </c>
      <c r="AA142">
        <v>1641.37</v>
      </c>
      <c r="AB142">
        <v>840.97</v>
      </c>
      <c r="AC142">
        <v>27.17</v>
      </c>
      <c r="AD142">
        <v>10.16</v>
      </c>
      <c r="AE142">
        <v>14244.71</v>
      </c>
      <c r="AF142">
        <v>20422</v>
      </c>
      <c r="AG142" t="s">
        <v>93</v>
      </c>
      <c r="AH142" t="s">
        <v>94</v>
      </c>
      <c r="AI142" t="s">
        <v>93</v>
      </c>
      <c r="AJ142" t="s">
        <v>94</v>
      </c>
      <c r="AK142">
        <v>16795</v>
      </c>
      <c r="AL142" t="s">
        <v>50</v>
      </c>
      <c r="AM142">
        <v>3</v>
      </c>
      <c r="AN142">
        <v>3</v>
      </c>
      <c r="AO142">
        <v>2025</v>
      </c>
      <c r="AP142">
        <v>4</v>
      </c>
    </row>
    <row r="143" spans="1:42" x14ac:dyDescent="0.25">
      <c r="A143">
        <v>329.79</v>
      </c>
      <c r="B143">
        <v>3690.27</v>
      </c>
      <c r="C143">
        <v>698.56</v>
      </c>
      <c r="D143">
        <v>85.84</v>
      </c>
      <c r="E143">
        <v>0</v>
      </c>
      <c r="F143">
        <v>4804.46</v>
      </c>
      <c r="G143">
        <v>876.01</v>
      </c>
      <c r="H143">
        <v>717.73</v>
      </c>
      <c r="I143">
        <v>341.47</v>
      </c>
      <c r="J143">
        <v>1935.21</v>
      </c>
      <c r="K143">
        <v>6739.66</v>
      </c>
      <c r="L143">
        <v>19.13</v>
      </c>
      <c r="M143">
        <v>1216.49</v>
      </c>
      <c r="N143">
        <v>2.34</v>
      </c>
      <c r="O143">
        <v>207.99</v>
      </c>
      <c r="P143">
        <v>1445.95</v>
      </c>
      <c r="Q143">
        <v>2.83</v>
      </c>
      <c r="R143">
        <v>0</v>
      </c>
      <c r="S143">
        <v>79.08</v>
      </c>
      <c r="T143">
        <v>1080.08</v>
      </c>
      <c r="U143">
        <v>0</v>
      </c>
      <c r="V143">
        <v>0</v>
      </c>
      <c r="W143">
        <v>45.32</v>
      </c>
      <c r="X143">
        <v>1207.32</v>
      </c>
      <c r="Y143">
        <v>2.23</v>
      </c>
      <c r="Z143">
        <v>53.2</v>
      </c>
      <c r="AA143">
        <v>396.56</v>
      </c>
      <c r="AB143">
        <v>22.11</v>
      </c>
      <c r="AC143">
        <v>557.95000000000005</v>
      </c>
      <c r="AD143">
        <v>0</v>
      </c>
      <c r="AE143">
        <v>10424.98</v>
      </c>
      <c r="AF143">
        <v>20304</v>
      </c>
      <c r="AG143" t="s">
        <v>103</v>
      </c>
      <c r="AH143" t="s">
        <v>104</v>
      </c>
      <c r="AI143" t="s">
        <v>103</v>
      </c>
      <c r="AJ143" t="s">
        <v>104</v>
      </c>
      <c r="AK143">
        <v>11025</v>
      </c>
      <c r="AL143" t="s">
        <v>50</v>
      </c>
      <c r="AM143">
        <v>3</v>
      </c>
      <c r="AN143">
        <v>3</v>
      </c>
      <c r="AO143">
        <v>2025</v>
      </c>
      <c r="AP143">
        <v>4</v>
      </c>
    </row>
    <row r="144" spans="1:42" x14ac:dyDescent="0.25">
      <c r="A144">
        <v>336.87</v>
      </c>
      <c r="B144">
        <v>13541.77</v>
      </c>
      <c r="C144">
        <v>7248.65</v>
      </c>
      <c r="D144">
        <v>165.72</v>
      </c>
      <c r="E144">
        <v>1327.02</v>
      </c>
      <c r="F144">
        <v>22620.03</v>
      </c>
      <c r="G144">
        <v>3851.39</v>
      </c>
      <c r="H144">
        <v>4277.0200000000004</v>
      </c>
      <c r="I144">
        <v>1181.46</v>
      </c>
      <c r="J144">
        <v>9309.86</v>
      </c>
      <c r="K144">
        <v>31929.89</v>
      </c>
      <c r="L144">
        <v>382.99</v>
      </c>
      <c r="M144">
        <v>14225.79</v>
      </c>
      <c r="N144">
        <v>0</v>
      </c>
      <c r="O144">
        <v>167.93</v>
      </c>
      <c r="P144">
        <v>14776.71</v>
      </c>
      <c r="Q144">
        <v>2.09</v>
      </c>
      <c r="R144">
        <v>65.17</v>
      </c>
      <c r="S144">
        <v>569.28</v>
      </c>
      <c r="T144">
        <v>391.58</v>
      </c>
      <c r="U144">
        <v>0</v>
      </c>
      <c r="V144">
        <v>0</v>
      </c>
      <c r="W144">
        <v>6544.73</v>
      </c>
      <c r="X144">
        <v>7572.85</v>
      </c>
      <c r="Y144">
        <v>4.99</v>
      </c>
      <c r="Z144">
        <v>4316.66</v>
      </c>
      <c r="AA144">
        <v>4182.66</v>
      </c>
      <c r="AB144">
        <v>0</v>
      </c>
      <c r="AC144">
        <v>171.96</v>
      </c>
      <c r="AD144">
        <v>3051.89</v>
      </c>
      <c r="AE144">
        <v>66007.61</v>
      </c>
      <c r="AF144">
        <v>20453</v>
      </c>
      <c r="AG144" t="s">
        <v>75</v>
      </c>
      <c r="AH144" t="s">
        <v>76</v>
      </c>
      <c r="AI144" t="s">
        <v>75</v>
      </c>
      <c r="AJ144" t="s">
        <v>76</v>
      </c>
      <c r="AK144">
        <v>80006</v>
      </c>
      <c r="AL144" t="s">
        <v>44</v>
      </c>
      <c r="AM144">
        <v>2</v>
      </c>
      <c r="AN144">
        <v>2</v>
      </c>
      <c r="AO144">
        <v>2025</v>
      </c>
      <c r="AP144">
        <v>3</v>
      </c>
    </row>
    <row r="145" spans="1:42" x14ac:dyDescent="0.25">
      <c r="A145">
        <v>343</v>
      </c>
      <c r="B145">
        <v>16763</v>
      </c>
      <c r="C145">
        <v>1799</v>
      </c>
      <c r="D145">
        <v>3797</v>
      </c>
      <c r="E145">
        <v>6697</v>
      </c>
      <c r="F145">
        <v>29399</v>
      </c>
      <c r="G145">
        <v>2942</v>
      </c>
      <c r="H145">
        <v>8722</v>
      </c>
      <c r="I145">
        <v>1839</v>
      </c>
      <c r="J145">
        <v>13504</v>
      </c>
      <c r="K145">
        <v>42903</v>
      </c>
      <c r="L145">
        <v>22206</v>
      </c>
      <c r="M145">
        <v>802</v>
      </c>
      <c r="N145">
        <v>2859</v>
      </c>
      <c r="O145">
        <v>2150</v>
      </c>
      <c r="P145">
        <v>28017</v>
      </c>
      <c r="Q145">
        <v>788</v>
      </c>
      <c r="R145">
        <v>358</v>
      </c>
      <c r="S145">
        <v>167</v>
      </c>
      <c r="T145">
        <v>5250</v>
      </c>
      <c r="U145">
        <v>251</v>
      </c>
      <c r="V145">
        <v>0</v>
      </c>
      <c r="W145">
        <v>11294</v>
      </c>
      <c r="X145">
        <v>18108</v>
      </c>
      <c r="Y145">
        <v>2295</v>
      </c>
      <c r="Z145">
        <v>7163</v>
      </c>
      <c r="AA145">
        <v>5983</v>
      </c>
      <c r="AB145">
        <v>0</v>
      </c>
      <c r="AC145">
        <v>1378</v>
      </c>
      <c r="AD145">
        <v>0</v>
      </c>
      <c r="AE145">
        <v>105847</v>
      </c>
      <c r="AF145">
        <v>19930</v>
      </c>
      <c r="AG145" t="s">
        <v>107</v>
      </c>
      <c r="AH145" t="s">
        <v>108</v>
      </c>
      <c r="AI145" t="s">
        <v>107</v>
      </c>
      <c r="AJ145" t="s">
        <v>108</v>
      </c>
      <c r="AK145">
        <v>16031</v>
      </c>
      <c r="AL145" t="s">
        <v>50</v>
      </c>
      <c r="AM145">
        <v>3</v>
      </c>
      <c r="AN145">
        <v>3</v>
      </c>
      <c r="AO145">
        <v>2025</v>
      </c>
      <c r="AP145">
        <v>3</v>
      </c>
    </row>
    <row r="146" spans="1:42" x14ac:dyDescent="0.25">
      <c r="A146">
        <v>343.78</v>
      </c>
      <c r="B146">
        <v>14579.82</v>
      </c>
      <c r="C146">
        <v>4790.72</v>
      </c>
      <c r="D146">
        <v>2172.2399999999998</v>
      </c>
      <c r="E146">
        <v>2249.33</v>
      </c>
      <c r="F146">
        <v>24135.87</v>
      </c>
      <c r="G146">
        <v>11096.83</v>
      </c>
      <c r="H146">
        <v>3528.53</v>
      </c>
      <c r="I146">
        <v>2040.53</v>
      </c>
      <c r="J146">
        <v>16665.88</v>
      </c>
      <c r="K146">
        <v>40801.75</v>
      </c>
      <c r="L146">
        <v>22301.88</v>
      </c>
      <c r="M146">
        <v>209.51</v>
      </c>
      <c r="N146">
        <v>4045.52</v>
      </c>
      <c r="O146">
        <v>1308.3900000000001</v>
      </c>
      <c r="P146">
        <v>27865.3</v>
      </c>
      <c r="Q146">
        <v>14.93</v>
      </c>
      <c r="R146">
        <v>209.01</v>
      </c>
      <c r="S146">
        <v>439.18</v>
      </c>
      <c r="T146">
        <v>0</v>
      </c>
      <c r="U146">
        <v>2779.95</v>
      </c>
      <c r="V146">
        <v>0</v>
      </c>
      <c r="W146">
        <v>3712.84</v>
      </c>
      <c r="X146">
        <v>7155.9</v>
      </c>
      <c r="Y146">
        <v>834.76</v>
      </c>
      <c r="Z146">
        <v>11404.46</v>
      </c>
      <c r="AA146">
        <v>6906.66</v>
      </c>
      <c r="AB146">
        <v>1058.46</v>
      </c>
      <c r="AC146">
        <v>9413.7999999999993</v>
      </c>
      <c r="AD146">
        <v>0</v>
      </c>
      <c r="AE146">
        <v>105441.1</v>
      </c>
      <c r="AF146">
        <v>20377</v>
      </c>
      <c r="AG146" t="s">
        <v>69</v>
      </c>
      <c r="AH146" t="s">
        <v>70</v>
      </c>
      <c r="AI146" t="s">
        <v>69</v>
      </c>
      <c r="AJ146" t="s">
        <v>70</v>
      </c>
      <c r="AK146">
        <v>16736</v>
      </c>
      <c r="AL146" t="s">
        <v>47</v>
      </c>
      <c r="AM146">
        <v>2</v>
      </c>
      <c r="AN146">
        <v>2</v>
      </c>
      <c r="AO146">
        <v>2025</v>
      </c>
      <c r="AP146">
        <v>1</v>
      </c>
    </row>
    <row r="147" spans="1:42" x14ac:dyDescent="0.25">
      <c r="A147">
        <v>349.76</v>
      </c>
      <c r="B147">
        <v>63687.88</v>
      </c>
      <c r="C147">
        <v>19140.23</v>
      </c>
      <c r="D147">
        <v>18117.82</v>
      </c>
      <c r="E147">
        <v>18107.11</v>
      </c>
      <c r="F147">
        <v>119402.81</v>
      </c>
      <c r="G147">
        <v>9966.64</v>
      </c>
      <c r="H147">
        <v>32366.639999999999</v>
      </c>
      <c r="I147">
        <v>7741.74</v>
      </c>
      <c r="J147">
        <v>50075.02</v>
      </c>
      <c r="K147">
        <v>169477.83</v>
      </c>
      <c r="L147">
        <v>84920.88</v>
      </c>
      <c r="M147">
        <v>10710.22</v>
      </c>
      <c r="N147">
        <v>12446.57</v>
      </c>
      <c r="O147">
        <v>898.14</v>
      </c>
      <c r="P147">
        <v>108975.81</v>
      </c>
      <c r="Q147">
        <v>1631.66</v>
      </c>
      <c r="R147">
        <v>4261.28</v>
      </c>
      <c r="S147">
        <v>1147.29</v>
      </c>
      <c r="T147">
        <v>23008.57</v>
      </c>
      <c r="U147">
        <v>3483.89</v>
      </c>
      <c r="V147">
        <v>0</v>
      </c>
      <c r="W147">
        <v>41428.22</v>
      </c>
      <c r="X147">
        <v>74960.91</v>
      </c>
      <c r="Y147">
        <v>10726.38</v>
      </c>
      <c r="Z147">
        <v>32844.85</v>
      </c>
      <c r="AA147">
        <v>16461.490000000002</v>
      </c>
      <c r="AB147">
        <v>837.75</v>
      </c>
      <c r="AC147">
        <v>6112.27</v>
      </c>
      <c r="AD147">
        <v>1535.34</v>
      </c>
      <c r="AE147">
        <v>421932.62</v>
      </c>
      <c r="AF147">
        <v>19805</v>
      </c>
      <c r="AG147" t="s">
        <v>105</v>
      </c>
      <c r="AH147" t="s">
        <v>106</v>
      </c>
      <c r="AI147" t="s">
        <v>105</v>
      </c>
      <c r="AJ147" t="s">
        <v>106</v>
      </c>
      <c r="AK147">
        <v>10052</v>
      </c>
      <c r="AL147" t="s">
        <v>64</v>
      </c>
      <c r="AM147">
        <v>3</v>
      </c>
      <c r="AN147">
        <v>3</v>
      </c>
      <c r="AO147">
        <v>2025</v>
      </c>
      <c r="AP147">
        <v>2</v>
      </c>
    </row>
    <row r="148" spans="1:42" x14ac:dyDescent="0.25">
      <c r="A148">
        <v>357.68</v>
      </c>
      <c r="B148">
        <v>1054.3699999999999</v>
      </c>
      <c r="C148">
        <v>873.45</v>
      </c>
      <c r="D148">
        <v>789.59</v>
      </c>
      <c r="E148">
        <v>0</v>
      </c>
      <c r="F148">
        <v>3075.09</v>
      </c>
      <c r="G148">
        <v>32.93</v>
      </c>
      <c r="H148">
        <v>77.84</v>
      </c>
      <c r="I148">
        <v>232.73</v>
      </c>
      <c r="J148">
        <v>343.5</v>
      </c>
      <c r="K148">
        <v>3418.59</v>
      </c>
      <c r="L148">
        <v>2817.72</v>
      </c>
      <c r="M148">
        <v>127.75</v>
      </c>
      <c r="N148">
        <v>41.95</v>
      </c>
      <c r="O148">
        <v>39.22</v>
      </c>
      <c r="P148">
        <v>3026.64</v>
      </c>
      <c r="Q148">
        <v>25.23</v>
      </c>
      <c r="R148">
        <v>166.5</v>
      </c>
      <c r="S148">
        <v>438.72</v>
      </c>
      <c r="T148">
        <v>0</v>
      </c>
      <c r="U148">
        <v>0</v>
      </c>
      <c r="V148">
        <v>0</v>
      </c>
      <c r="W148">
        <v>3433.51</v>
      </c>
      <c r="X148">
        <v>4063.96</v>
      </c>
      <c r="Y148">
        <v>144.03</v>
      </c>
      <c r="Z148">
        <v>477.35</v>
      </c>
      <c r="AA148">
        <v>0</v>
      </c>
      <c r="AB148">
        <v>165.22</v>
      </c>
      <c r="AC148">
        <v>2098.41</v>
      </c>
      <c r="AD148">
        <v>0</v>
      </c>
      <c r="AE148">
        <v>13394.21</v>
      </c>
      <c r="AF148">
        <v>20310</v>
      </c>
      <c r="AG148" t="s">
        <v>71</v>
      </c>
      <c r="AH148" t="s">
        <v>72</v>
      </c>
      <c r="AI148" t="s">
        <v>71</v>
      </c>
      <c r="AJ148" t="s">
        <v>72</v>
      </c>
      <c r="AK148">
        <v>16076</v>
      </c>
      <c r="AL148" t="s">
        <v>47</v>
      </c>
      <c r="AM148">
        <v>1</v>
      </c>
      <c r="AN148">
        <v>1</v>
      </c>
      <c r="AO148">
        <v>2025</v>
      </c>
      <c r="AP148">
        <v>3</v>
      </c>
    </row>
    <row r="149" spans="1:42" x14ac:dyDescent="0.25">
      <c r="A149">
        <v>359.94</v>
      </c>
      <c r="B149">
        <v>14972.11</v>
      </c>
      <c r="C149">
        <v>4714.5600000000004</v>
      </c>
      <c r="D149">
        <v>2008.78</v>
      </c>
      <c r="E149">
        <v>1922.16</v>
      </c>
      <c r="F149">
        <v>23977.54</v>
      </c>
      <c r="G149">
        <v>15647.86</v>
      </c>
      <c r="H149">
        <v>3585.13</v>
      </c>
      <c r="I149">
        <v>1625.56</v>
      </c>
      <c r="J149">
        <v>20858.55</v>
      </c>
      <c r="K149">
        <v>44836.09</v>
      </c>
      <c r="L149">
        <v>25810.99</v>
      </c>
      <c r="M149">
        <v>325.52</v>
      </c>
      <c r="N149">
        <v>4442.13</v>
      </c>
      <c r="O149">
        <v>2294.0300000000002</v>
      </c>
      <c r="P149">
        <v>32872.67</v>
      </c>
      <c r="Q149">
        <v>13.72</v>
      </c>
      <c r="R149">
        <v>158.15</v>
      </c>
      <c r="S149">
        <v>729.29</v>
      </c>
      <c r="T149">
        <v>0</v>
      </c>
      <c r="U149">
        <v>3497.99</v>
      </c>
      <c r="V149">
        <v>0</v>
      </c>
      <c r="W149">
        <v>4793.2700000000004</v>
      </c>
      <c r="X149">
        <v>9192.41</v>
      </c>
      <c r="Y149">
        <v>954.48</v>
      </c>
      <c r="Z149">
        <v>10692.95</v>
      </c>
      <c r="AA149">
        <v>6139.18</v>
      </c>
      <c r="AB149">
        <v>333.95</v>
      </c>
      <c r="AC149">
        <v>13619.36</v>
      </c>
      <c r="AD149">
        <v>137.08000000000001</v>
      </c>
      <c r="AE149">
        <v>118778.16</v>
      </c>
      <c r="AF149">
        <v>20377</v>
      </c>
      <c r="AG149" t="s">
        <v>69</v>
      </c>
      <c r="AH149" t="s">
        <v>70</v>
      </c>
      <c r="AI149" t="s">
        <v>69</v>
      </c>
      <c r="AJ149" t="s">
        <v>70</v>
      </c>
      <c r="AK149">
        <v>16736</v>
      </c>
      <c r="AL149" t="s">
        <v>47</v>
      </c>
      <c r="AM149">
        <v>2</v>
      </c>
      <c r="AN149">
        <v>2</v>
      </c>
      <c r="AO149">
        <v>2025</v>
      </c>
      <c r="AP149">
        <v>3</v>
      </c>
    </row>
    <row r="150" spans="1:42" x14ac:dyDescent="0.25">
      <c r="A150">
        <v>362.49</v>
      </c>
      <c r="B150">
        <v>1345.63</v>
      </c>
      <c r="C150">
        <v>686.14</v>
      </c>
      <c r="F150">
        <v>2394.2600000000002</v>
      </c>
      <c r="H150">
        <v>384.47</v>
      </c>
      <c r="I150">
        <v>188.52</v>
      </c>
      <c r="J150">
        <v>572.99</v>
      </c>
      <c r="K150">
        <v>2967.25</v>
      </c>
      <c r="L150">
        <v>4720.68</v>
      </c>
      <c r="M150">
        <v>3751.05</v>
      </c>
      <c r="P150">
        <v>8471.73</v>
      </c>
      <c r="R150">
        <v>54.99</v>
      </c>
      <c r="S150">
        <v>361.88</v>
      </c>
      <c r="W150">
        <v>1992.16</v>
      </c>
      <c r="X150">
        <v>2409.0300000000002</v>
      </c>
      <c r="Y150">
        <v>615.54999999999995</v>
      </c>
      <c r="Z150">
        <v>74.459999999999994</v>
      </c>
      <c r="AA150">
        <v>1235.8499999999999</v>
      </c>
      <c r="AC150">
        <v>525.29</v>
      </c>
      <c r="AE150">
        <v>16299.16</v>
      </c>
      <c r="AF150">
        <v>20177</v>
      </c>
      <c r="AG150" t="s">
        <v>109</v>
      </c>
      <c r="AH150" t="s">
        <v>110</v>
      </c>
      <c r="AI150" t="s">
        <v>109</v>
      </c>
      <c r="AJ150" t="s">
        <v>110</v>
      </c>
      <c r="AK150">
        <v>6070</v>
      </c>
      <c r="AL150" t="s">
        <v>44</v>
      </c>
      <c r="AM150">
        <v>1</v>
      </c>
      <c r="AN150">
        <v>1</v>
      </c>
      <c r="AO150">
        <v>2025</v>
      </c>
      <c r="AP150">
        <v>1</v>
      </c>
    </row>
    <row r="151" spans="1:42" x14ac:dyDescent="0.25">
      <c r="A151">
        <v>363.17</v>
      </c>
      <c r="B151">
        <v>1395.18</v>
      </c>
      <c r="C151">
        <v>670.08</v>
      </c>
      <c r="F151">
        <v>2428.42</v>
      </c>
      <c r="H151">
        <v>382.38</v>
      </c>
      <c r="I151">
        <v>167.99</v>
      </c>
      <c r="J151">
        <v>550.37</v>
      </c>
      <c r="K151">
        <v>2978.79</v>
      </c>
      <c r="L151">
        <v>3932.8</v>
      </c>
      <c r="M151">
        <v>3425.39</v>
      </c>
      <c r="P151">
        <v>7358.19</v>
      </c>
      <c r="R151">
        <v>57.91</v>
      </c>
      <c r="S151">
        <v>555.17999999999995</v>
      </c>
      <c r="W151">
        <v>2459.11</v>
      </c>
      <c r="X151">
        <v>3072.19</v>
      </c>
      <c r="Y151">
        <v>596.29999999999995</v>
      </c>
      <c r="Z151">
        <v>161.88</v>
      </c>
      <c r="AA151">
        <v>1132.3499999999999</v>
      </c>
      <c r="AC151">
        <v>550.49</v>
      </c>
      <c r="AE151">
        <v>15850.19</v>
      </c>
      <c r="AF151">
        <v>20177</v>
      </c>
      <c r="AG151" t="s">
        <v>109</v>
      </c>
      <c r="AH151" t="s">
        <v>110</v>
      </c>
      <c r="AI151" t="s">
        <v>109</v>
      </c>
      <c r="AJ151" t="s">
        <v>110</v>
      </c>
      <c r="AK151">
        <v>6070</v>
      </c>
      <c r="AL151" t="s">
        <v>44</v>
      </c>
      <c r="AM151">
        <v>1</v>
      </c>
      <c r="AN151">
        <v>1</v>
      </c>
      <c r="AO151">
        <v>2025</v>
      </c>
      <c r="AP151">
        <v>3</v>
      </c>
    </row>
    <row r="152" spans="1:42" x14ac:dyDescent="0.25">
      <c r="A152">
        <v>363.3</v>
      </c>
      <c r="B152">
        <v>1274.5</v>
      </c>
      <c r="C152">
        <v>672.7</v>
      </c>
      <c r="F152">
        <v>2310.5</v>
      </c>
      <c r="H152">
        <v>379.9</v>
      </c>
      <c r="I152">
        <v>176.04</v>
      </c>
      <c r="J152">
        <v>555.94000000000005</v>
      </c>
      <c r="K152">
        <v>2866.45</v>
      </c>
      <c r="L152">
        <v>3237.32</v>
      </c>
      <c r="M152">
        <v>3842.39</v>
      </c>
      <c r="P152">
        <v>7079.71</v>
      </c>
      <c r="R152">
        <v>55.23</v>
      </c>
      <c r="S152">
        <v>439.27</v>
      </c>
      <c r="W152">
        <v>2041.19</v>
      </c>
      <c r="X152">
        <v>2535.69</v>
      </c>
      <c r="Y152">
        <v>582.33000000000004</v>
      </c>
      <c r="Z152">
        <v>74.459999999999994</v>
      </c>
      <c r="AA152">
        <v>1173.77</v>
      </c>
      <c r="AC152">
        <v>500.58</v>
      </c>
      <c r="AE152">
        <v>14812.98</v>
      </c>
      <c r="AF152">
        <v>20177</v>
      </c>
      <c r="AG152" t="s">
        <v>109</v>
      </c>
      <c r="AH152" t="s">
        <v>110</v>
      </c>
      <c r="AI152" t="s">
        <v>109</v>
      </c>
      <c r="AJ152" t="s">
        <v>110</v>
      </c>
      <c r="AK152">
        <v>6070</v>
      </c>
      <c r="AL152" t="s">
        <v>44</v>
      </c>
      <c r="AM152">
        <v>1</v>
      </c>
      <c r="AN152">
        <v>1</v>
      </c>
      <c r="AO152">
        <v>2025</v>
      </c>
      <c r="AP152">
        <v>2</v>
      </c>
    </row>
    <row r="153" spans="1:42" x14ac:dyDescent="0.25">
      <c r="A153">
        <v>365.04</v>
      </c>
      <c r="B153">
        <v>13554.83</v>
      </c>
      <c r="C153">
        <v>7582.73</v>
      </c>
      <c r="D153">
        <v>186.38</v>
      </c>
      <c r="E153">
        <v>1212.29</v>
      </c>
      <c r="F153">
        <v>22901.26</v>
      </c>
      <c r="G153">
        <v>3988.32</v>
      </c>
      <c r="H153">
        <v>5153.59</v>
      </c>
      <c r="I153">
        <v>1479.04</v>
      </c>
      <c r="J153">
        <v>10620.95</v>
      </c>
      <c r="K153">
        <v>33522.21</v>
      </c>
      <c r="L153">
        <v>471.39</v>
      </c>
      <c r="M153">
        <v>17046.18</v>
      </c>
      <c r="N153">
        <v>0</v>
      </c>
      <c r="O153">
        <v>218.94</v>
      </c>
      <c r="P153">
        <v>17736.52</v>
      </c>
      <c r="Q153">
        <v>0</v>
      </c>
      <c r="R153">
        <v>69.42</v>
      </c>
      <c r="S153">
        <v>596.91</v>
      </c>
      <c r="T153">
        <v>725.62</v>
      </c>
      <c r="U153">
        <v>0</v>
      </c>
      <c r="V153">
        <v>0</v>
      </c>
      <c r="W153">
        <v>7817.37</v>
      </c>
      <c r="X153">
        <v>9209.33</v>
      </c>
      <c r="Y153">
        <v>0</v>
      </c>
      <c r="Z153">
        <v>4540.38</v>
      </c>
      <c r="AA153">
        <v>4464.72</v>
      </c>
      <c r="AB153">
        <v>0</v>
      </c>
      <c r="AC153">
        <v>312.95</v>
      </c>
      <c r="AD153">
        <v>2235.7199999999998</v>
      </c>
      <c r="AE153">
        <v>72021.820000000007</v>
      </c>
      <c r="AF153">
        <v>20453</v>
      </c>
      <c r="AG153" t="s">
        <v>75</v>
      </c>
      <c r="AH153" t="s">
        <v>76</v>
      </c>
      <c r="AI153" t="s">
        <v>75</v>
      </c>
      <c r="AJ153" t="s">
        <v>76</v>
      </c>
      <c r="AK153">
        <v>80006</v>
      </c>
      <c r="AL153" t="s">
        <v>44</v>
      </c>
      <c r="AM153">
        <v>2</v>
      </c>
      <c r="AN153">
        <v>2</v>
      </c>
      <c r="AO153">
        <v>2025</v>
      </c>
      <c r="AP153">
        <v>2</v>
      </c>
    </row>
    <row r="154" spans="1:42" x14ac:dyDescent="0.25">
      <c r="A154">
        <v>372.47</v>
      </c>
      <c r="B154">
        <v>1592.18</v>
      </c>
      <c r="C154">
        <v>746.49</v>
      </c>
      <c r="F154">
        <v>2711.14</v>
      </c>
      <c r="H154">
        <v>382.9</v>
      </c>
      <c r="I154">
        <v>163.12</v>
      </c>
      <c r="J154">
        <v>546.01</v>
      </c>
      <c r="K154">
        <v>3257.15</v>
      </c>
      <c r="L154">
        <v>6031.18</v>
      </c>
      <c r="M154">
        <v>3386.36</v>
      </c>
      <c r="P154">
        <v>9417.5400000000009</v>
      </c>
      <c r="R154">
        <v>64.8</v>
      </c>
      <c r="S154">
        <v>556.44000000000005</v>
      </c>
      <c r="W154">
        <v>3217.14</v>
      </c>
      <c r="X154">
        <v>3838.38</v>
      </c>
      <c r="Y154">
        <v>754.25</v>
      </c>
      <c r="Z154">
        <v>-67.989999999999995</v>
      </c>
      <c r="AA154">
        <v>1115.3</v>
      </c>
      <c r="AC154">
        <v>1043.95</v>
      </c>
      <c r="AE154">
        <v>19358.57</v>
      </c>
      <c r="AF154">
        <v>20177</v>
      </c>
      <c r="AG154" t="s">
        <v>109</v>
      </c>
      <c r="AH154" t="s">
        <v>110</v>
      </c>
      <c r="AI154" t="s">
        <v>109</v>
      </c>
      <c r="AJ154" t="s">
        <v>110</v>
      </c>
      <c r="AK154">
        <v>6070</v>
      </c>
      <c r="AL154" t="s">
        <v>44</v>
      </c>
      <c r="AM154">
        <v>1</v>
      </c>
      <c r="AN154">
        <v>1</v>
      </c>
      <c r="AO154">
        <v>2025</v>
      </c>
      <c r="AP154">
        <v>4</v>
      </c>
    </row>
    <row r="155" spans="1:42" x14ac:dyDescent="0.25">
      <c r="A155">
        <v>386.9</v>
      </c>
      <c r="B155">
        <v>4629.75</v>
      </c>
      <c r="C155">
        <v>1179.98</v>
      </c>
      <c r="D155">
        <v>1279.6500000000001</v>
      </c>
      <c r="E155">
        <v>1551.8</v>
      </c>
      <c r="F155">
        <v>9028.08</v>
      </c>
      <c r="G155">
        <v>1104.45</v>
      </c>
      <c r="H155">
        <v>903.69</v>
      </c>
      <c r="I155">
        <v>652.35</v>
      </c>
      <c r="J155">
        <v>2660.49</v>
      </c>
      <c r="K155">
        <v>11688.57</v>
      </c>
      <c r="L155">
        <v>8294.69</v>
      </c>
      <c r="M155">
        <v>1231.79</v>
      </c>
      <c r="N155">
        <v>0</v>
      </c>
      <c r="O155">
        <v>258.42</v>
      </c>
      <c r="P155">
        <v>9784.9</v>
      </c>
      <c r="Q155">
        <v>39.74</v>
      </c>
      <c r="R155">
        <v>592.48</v>
      </c>
      <c r="S155">
        <v>304.91000000000003</v>
      </c>
      <c r="T155">
        <v>5213.3900000000003</v>
      </c>
      <c r="U155">
        <v>0</v>
      </c>
      <c r="V155">
        <v>502.15</v>
      </c>
      <c r="W155">
        <v>3918.81</v>
      </c>
      <c r="X155">
        <v>10571.48</v>
      </c>
      <c r="Y155">
        <v>826.5</v>
      </c>
      <c r="Z155">
        <v>4901.53</v>
      </c>
      <c r="AA155">
        <v>760.4</v>
      </c>
      <c r="AB155">
        <v>633.54</v>
      </c>
      <c r="AC155">
        <v>666.81</v>
      </c>
      <c r="AD155">
        <v>1479.59</v>
      </c>
      <c r="AE155">
        <v>41313.32</v>
      </c>
      <c r="AF155">
        <v>20151</v>
      </c>
      <c r="AG155" t="s">
        <v>97</v>
      </c>
      <c r="AH155" t="s">
        <v>98</v>
      </c>
      <c r="AI155" t="s">
        <v>97</v>
      </c>
      <c r="AJ155" t="s">
        <v>98</v>
      </c>
      <c r="AK155">
        <v>6052</v>
      </c>
      <c r="AL155" t="s">
        <v>44</v>
      </c>
      <c r="AM155">
        <v>2</v>
      </c>
      <c r="AN155">
        <v>2</v>
      </c>
      <c r="AO155">
        <v>2025</v>
      </c>
      <c r="AP155">
        <v>1</v>
      </c>
    </row>
    <row r="156" spans="1:42" x14ac:dyDescent="0.25">
      <c r="A156">
        <v>398</v>
      </c>
      <c r="B156">
        <v>42868</v>
      </c>
      <c r="C156">
        <v>3750</v>
      </c>
      <c r="D156">
        <v>15881</v>
      </c>
      <c r="E156">
        <v>11885</v>
      </c>
      <c r="F156">
        <v>74782</v>
      </c>
      <c r="G156">
        <v>5747</v>
      </c>
      <c r="H156">
        <v>23115</v>
      </c>
      <c r="I156">
        <v>4893</v>
      </c>
      <c r="J156">
        <v>33755</v>
      </c>
      <c r="K156">
        <v>108537</v>
      </c>
      <c r="L156">
        <v>41795</v>
      </c>
      <c r="M156">
        <v>2906</v>
      </c>
      <c r="N156">
        <v>595</v>
      </c>
      <c r="O156">
        <v>628</v>
      </c>
      <c r="P156">
        <v>45924</v>
      </c>
      <c r="Q156">
        <v>2681</v>
      </c>
      <c r="R156">
        <v>264</v>
      </c>
      <c r="S156">
        <v>579</v>
      </c>
      <c r="T156">
        <v>8149</v>
      </c>
      <c r="U156">
        <v>176</v>
      </c>
      <c r="V156">
        <v>23</v>
      </c>
      <c r="W156">
        <v>17083</v>
      </c>
      <c r="X156">
        <v>28955</v>
      </c>
      <c r="Y156">
        <v>6453</v>
      </c>
      <c r="Z156">
        <v>14767</v>
      </c>
      <c r="AA156">
        <v>12334</v>
      </c>
      <c r="AB156">
        <v>340</v>
      </c>
      <c r="AC156">
        <v>2686</v>
      </c>
      <c r="AD156">
        <v>1265</v>
      </c>
      <c r="AE156">
        <v>221261</v>
      </c>
      <c r="AF156">
        <v>19393</v>
      </c>
      <c r="AG156" t="s">
        <v>99</v>
      </c>
      <c r="AH156" t="s">
        <v>100</v>
      </c>
      <c r="AI156" t="s">
        <v>99</v>
      </c>
      <c r="AJ156" t="s">
        <v>100</v>
      </c>
      <c r="AK156">
        <v>11033</v>
      </c>
      <c r="AL156" t="s">
        <v>50</v>
      </c>
      <c r="AM156">
        <v>3</v>
      </c>
      <c r="AN156">
        <v>3</v>
      </c>
      <c r="AO156">
        <v>2025</v>
      </c>
      <c r="AP156">
        <v>2</v>
      </c>
    </row>
    <row r="157" spans="1:42" x14ac:dyDescent="0.25">
      <c r="A157">
        <v>402.58</v>
      </c>
      <c r="B157">
        <v>1789.63</v>
      </c>
      <c r="C157">
        <v>1762.39</v>
      </c>
      <c r="D157">
        <v>3326.06</v>
      </c>
      <c r="E157">
        <v>550.28</v>
      </c>
      <c r="F157">
        <v>7830.93</v>
      </c>
      <c r="G157">
        <v>224.47</v>
      </c>
      <c r="H157">
        <v>1377.27</v>
      </c>
      <c r="I157">
        <v>621.21</v>
      </c>
      <c r="J157">
        <v>2222.9499999999998</v>
      </c>
      <c r="K157">
        <v>10053.879999999999</v>
      </c>
      <c r="L157">
        <v>4119.49</v>
      </c>
      <c r="M157">
        <v>969.71</v>
      </c>
      <c r="N157">
        <v>0</v>
      </c>
      <c r="O157">
        <v>346</v>
      </c>
      <c r="P157">
        <v>5435.2</v>
      </c>
      <c r="Q157">
        <v>27.51</v>
      </c>
      <c r="R157">
        <v>63.26</v>
      </c>
      <c r="S157">
        <v>474.96</v>
      </c>
      <c r="T157">
        <v>2755.25</v>
      </c>
      <c r="U157">
        <v>0</v>
      </c>
      <c r="V157">
        <v>0</v>
      </c>
      <c r="W157">
        <v>2635.06</v>
      </c>
      <c r="X157">
        <v>5956.04</v>
      </c>
      <c r="Y157">
        <v>864.38</v>
      </c>
      <c r="Z157">
        <v>1458.5</v>
      </c>
      <c r="AA157">
        <v>2189.5700000000002</v>
      </c>
      <c r="AB157">
        <v>0</v>
      </c>
      <c r="AC157">
        <v>125.15</v>
      </c>
      <c r="AD157">
        <v>1703.08</v>
      </c>
      <c r="AE157">
        <v>27785.81</v>
      </c>
      <c r="AF157">
        <v>21634</v>
      </c>
      <c r="AG157" t="s">
        <v>111</v>
      </c>
      <c r="AH157" t="s">
        <v>112</v>
      </c>
      <c r="AI157" t="s">
        <v>111</v>
      </c>
      <c r="AJ157" t="s">
        <v>112</v>
      </c>
      <c r="AK157">
        <v>1146</v>
      </c>
      <c r="AL157" t="s">
        <v>44</v>
      </c>
      <c r="AM157">
        <v>2</v>
      </c>
      <c r="AN157">
        <v>2</v>
      </c>
      <c r="AO157">
        <v>2025</v>
      </c>
      <c r="AP157">
        <v>2</v>
      </c>
    </row>
    <row r="158" spans="1:42" x14ac:dyDescent="0.25">
      <c r="A158">
        <v>403.2</v>
      </c>
      <c r="B158">
        <v>4084.34</v>
      </c>
      <c r="C158">
        <v>922.85</v>
      </c>
      <c r="D158">
        <v>1686.26</v>
      </c>
      <c r="E158">
        <v>0</v>
      </c>
      <c r="F158">
        <v>7096.65</v>
      </c>
      <c r="G158">
        <v>2048.54</v>
      </c>
      <c r="H158">
        <v>482.87</v>
      </c>
      <c r="I158">
        <v>479.57</v>
      </c>
      <c r="J158">
        <v>3010.98</v>
      </c>
      <c r="K158">
        <v>10107.629999999999</v>
      </c>
      <c r="L158">
        <v>4082.31</v>
      </c>
      <c r="M158">
        <v>1012.68</v>
      </c>
      <c r="N158">
        <v>100.15</v>
      </c>
      <c r="O158">
        <v>367.85</v>
      </c>
      <c r="P158">
        <v>5562.99</v>
      </c>
      <c r="Q158">
        <v>0</v>
      </c>
      <c r="R158">
        <v>36.21</v>
      </c>
      <c r="S158">
        <v>688.72</v>
      </c>
      <c r="T158">
        <v>2279.0700000000002</v>
      </c>
      <c r="U158">
        <v>58.12</v>
      </c>
      <c r="V158">
        <v>0</v>
      </c>
      <c r="W158">
        <v>4092.65</v>
      </c>
      <c r="X158">
        <v>7154.76</v>
      </c>
      <c r="Y158">
        <v>154.34</v>
      </c>
      <c r="Z158">
        <v>1603.57</v>
      </c>
      <c r="AA158">
        <v>3040.4</v>
      </c>
      <c r="AB158">
        <v>13.16</v>
      </c>
      <c r="AC158">
        <v>247.27</v>
      </c>
      <c r="AD158">
        <v>0</v>
      </c>
      <c r="AE158">
        <v>27884.11</v>
      </c>
      <c r="AF158">
        <v>21875</v>
      </c>
      <c r="AG158" t="s">
        <v>113</v>
      </c>
      <c r="AH158" t="s">
        <v>114</v>
      </c>
      <c r="AI158" t="s">
        <v>113</v>
      </c>
      <c r="AJ158" t="s">
        <v>114</v>
      </c>
      <c r="AK158">
        <v>1225</v>
      </c>
      <c r="AL158" t="s">
        <v>115</v>
      </c>
      <c r="AM158">
        <v>1</v>
      </c>
      <c r="AN158">
        <v>1</v>
      </c>
      <c r="AO158">
        <v>2025</v>
      </c>
      <c r="AP158">
        <v>2</v>
      </c>
    </row>
    <row r="159" spans="1:42" x14ac:dyDescent="0.25">
      <c r="A159">
        <v>404.9</v>
      </c>
      <c r="B159">
        <v>1452.31</v>
      </c>
      <c r="C159">
        <v>1332.96</v>
      </c>
      <c r="D159">
        <v>3007.93</v>
      </c>
      <c r="E159">
        <v>649.33000000000004</v>
      </c>
      <c r="F159">
        <v>6847.43</v>
      </c>
      <c r="G159">
        <v>164.93</v>
      </c>
      <c r="H159">
        <v>1244.04</v>
      </c>
      <c r="I159">
        <v>477.38</v>
      </c>
      <c r="J159">
        <v>1886.35</v>
      </c>
      <c r="K159">
        <v>8733.7800000000007</v>
      </c>
      <c r="L159">
        <v>3353.32</v>
      </c>
      <c r="M159">
        <v>1122.56</v>
      </c>
      <c r="N159">
        <v>0</v>
      </c>
      <c r="O159">
        <v>399.58</v>
      </c>
      <c r="P159">
        <v>4875.46</v>
      </c>
      <c r="Q159">
        <v>59.89</v>
      </c>
      <c r="R159">
        <v>66.13</v>
      </c>
      <c r="S159">
        <v>241.44</v>
      </c>
      <c r="T159">
        <v>1848.52</v>
      </c>
      <c r="U159">
        <v>0</v>
      </c>
      <c r="V159">
        <v>0</v>
      </c>
      <c r="W159">
        <v>4525.96</v>
      </c>
      <c r="X159">
        <v>6741.94</v>
      </c>
      <c r="Y159">
        <v>737.39</v>
      </c>
      <c r="Z159">
        <v>1402.61</v>
      </c>
      <c r="AA159">
        <v>2554.94</v>
      </c>
      <c r="AB159">
        <v>0</v>
      </c>
      <c r="AC159">
        <v>175.19</v>
      </c>
      <c r="AD159">
        <v>1991.56</v>
      </c>
      <c r="AE159">
        <v>27212.87</v>
      </c>
      <c r="AF159">
        <v>21634</v>
      </c>
      <c r="AG159" t="s">
        <v>111</v>
      </c>
      <c r="AH159" t="s">
        <v>112</v>
      </c>
      <c r="AI159" t="s">
        <v>111</v>
      </c>
      <c r="AJ159" t="s">
        <v>112</v>
      </c>
      <c r="AK159">
        <v>1146</v>
      </c>
      <c r="AL159" t="s">
        <v>44</v>
      </c>
      <c r="AM159">
        <v>2</v>
      </c>
      <c r="AN159">
        <v>2</v>
      </c>
      <c r="AO159">
        <v>2025</v>
      </c>
      <c r="AP159">
        <v>4</v>
      </c>
    </row>
    <row r="160" spans="1:42" x14ac:dyDescent="0.25">
      <c r="A160">
        <v>405.32</v>
      </c>
      <c r="B160">
        <v>4011.05</v>
      </c>
      <c r="C160">
        <v>578.30999999999995</v>
      </c>
      <c r="D160">
        <v>1276.93</v>
      </c>
      <c r="E160">
        <v>0</v>
      </c>
      <c r="F160">
        <v>6271.6</v>
      </c>
      <c r="G160">
        <v>2020.44</v>
      </c>
      <c r="H160">
        <v>410.5</v>
      </c>
      <c r="I160">
        <v>506.65</v>
      </c>
      <c r="J160">
        <v>2937.59</v>
      </c>
      <c r="K160">
        <v>9209.19</v>
      </c>
      <c r="L160">
        <v>3601.99</v>
      </c>
      <c r="M160">
        <v>704.63</v>
      </c>
      <c r="N160">
        <v>91.35</v>
      </c>
      <c r="O160">
        <v>359.9</v>
      </c>
      <c r="P160">
        <v>4757.88</v>
      </c>
      <c r="Q160">
        <v>0</v>
      </c>
      <c r="R160">
        <v>68.819999999999993</v>
      </c>
      <c r="S160">
        <v>689.33</v>
      </c>
      <c r="T160">
        <v>1675.41</v>
      </c>
      <c r="U160">
        <v>45.22</v>
      </c>
      <c r="V160">
        <v>0</v>
      </c>
      <c r="W160">
        <v>4144.08</v>
      </c>
      <c r="X160">
        <v>6622.87</v>
      </c>
      <c r="Y160">
        <v>114.76</v>
      </c>
      <c r="Z160">
        <v>1565.18</v>
      </c>
      <c r="AA160">
        <v>2786.83</v>
      </c>
      <c r="AB160">
        <v>11.39</v>
      </c>
      <c r="AC160">
        <v>365.25</v>
      </c>
      <c r="AD160">
        <v>134.11000000000001</v>
      </c>
      <c r="AE160">
        <v>25567.45</v>
      </c>
      <c r="AF160">
        <v>21875</v>
      </c>
      <c r="AG160" t="s">
        <v>113</v>
      </c>
      <c r="AH160" t="s">
        <v>114</v>
      </c>
      <c r="AI160" t="s">
        <v>113</v>
      </c>
      <c r="AJ160" t="s">
        <v>114</v>
      </c>
      <c r="AK160">
        <v>1225</v>
      </c>
      <c r="AL160" t="s">
        <v>115</v>
      </c>
      <c r="AM160">
        <v>1</v>
      </c>
      <c r="AN160">
        <v>1</v>
      </c>
      <c r="AO160">
        <v>2025</v>
      </c>
      <c r="AP160">
        <v>1</v>
      </c>
    </row>
    <row r="161" spans="1:42" x14ac:dyDescent="0.25">
      <c r="A161">
        <v>408.06</v>
      </c>
      <c r="B161">
        <v>4457.32</v>
      </c>
      <c r="C161">
        <v>1138.83</v>
      </c>
      <c r="D161">
        <v>1909.01</v>
      </c>
      <c r="E161">
        <v>0</v>
      </c>
      <c r="F161">
        <v>7913.22</v>
      </c>
      <c r="G161">
        <v>2545.7199999999998</v>
      </c>
      <c r="H161">
        <v>466.28</v>
      </c>
      <c r="I161">
        <v>648.26</v>
      </c>
      <c r="J161">
        <v>3660.27</v>
      </c>
      <c r="K161">
        <v>11573.49</v>
      </c>
      <c r="L161">
        <v>5108.57</v>
      </c>
      <c r="M161">
        <v>1332.7</v>
      </c>
      <c r="N161">
        <v>190.17</v>
      </c>
      <c r="O161">
        <v>633.58000000000004</v>
      </c>
      <c r="P161">
        <v>7265.02</v>
      </c>
      <c r="Q161">
        <v>0.4</v>
      </c>
      <c r="R161">
        <v>3.23</v>
      </c>
      <c r="S161">
        <v>659.58</v>
      </c>
      <c r="T161">
        <v>2464.44</v>
      </c>
      <c r="U161">
        <v>33.76</v>
      </c>
      <c r="V161">
        <v>0</v>
      </c>
      <c r="W161">
        <v>5075.3</v>
      </c>
      <c r="X161">
        <v>8236.7199999999993</v>
      </c>
      <c r="Y161">
        <v>209.22</v>
      </c>
      <c r="Z161">
        <v>1633.16</v>
      </c>
      <c r="AA161">
        <v>3121.75</v>
      </c>
      <c r="AB161">
        <v>13.16</v>
      </c>
      <c r="AC161">
        <v>369.38</v>
      </c>
      <c r="AD161">
        <v>0</v>
      </c>
      <c r="AE161">
        <v>32421.89</v>
      </c>
      <c r="AF161">
        <v>21875</v>
      </c>
      <c r="AG161" t="s">
        <v>113</v>
      </c>
      <c r="AH161" t="s">
        <v>114</v>
      </c>
      <c r="AI161" t="s">
        <v>113</v>
      </c>
      <c r="AJ161" t="s">
        <v>114</v>
      </c>
      <c r="AK161">
        <v>1225</v>
      </c>
      <c r="AL161" t="s">
        <v>115</v>
      </c>
      <c r="AM161">
        <v>1</v>
      </c>
      <c r="AN161">
        <v>1</v>
      </c>
      <c r="AO161">
        <v>2025</v>
      </c>
      <c r="AP161">
        <v>3</v>
      </c>
    </row>
    <row r="162" spans="1:42" x14ac:dyDescent="0.25">
      <c r="A162">
        <v>410.21</v>
      </c>
      <c r="B162">
        <v>4446.5600000000004</v>
      </c>
      <c r="C162">
        <v>1287.43</v>
      </c>
      <c r="D162">
        <v>2007.41</v>
      </c>
      <c r="E162">
        <v>0</v>
      </c>
      <c r="F162">
        <v>8151.6</v>
      </c>
      <c r="G162">
        <v>3148.74</v>
      </c>
      <c r="H162">
        <v>505.64</v>
      </c>
      <c r="I162">
        <v>806.36</v>
      </c>
      <c r="J162">
        <v>4460.7299999999996</v>
      </c>
      <c r="K162">
        <v>12612.33</v>
      </c>
      <c r="L162">
        <v>4803.3599999999997</v>
      </c>
      <c r="M162">
        <v>1847.34</v>
      </c>
      <c r="N162">
        <v>207.18</v>
      </c>
      <c r="O162">
        <v>682.61</v>
      </c>
      <c r="P162">
        <v>7540.5</v>
      </c>
      <c r="Q162">
        <v>6.44</v>
      </c>
      <c r="R162">
        <v>11.19</v>
      </c>
      <c r="S162">
        <v>354.54</v>
      </c>
      <c r="T162">
        <v>3657.43</v>
      </c>
      <c r="U162">
        <v>62.32</v>
      </c>
      <c r="V162">
        <v>0</v>
      </c>
      <c r="W162">
        <v>4811.8</v>
      </c>
      <c r="X162">
        <v>8903.7199999999993</v>
      </c>
      <c r="Y162">
        <v>408.03</v>
      </c>
      <c r="Z162">
        <v>1639.69</v>
      </c>
      <c r="AA162">
        <v>1636.44</v>
      </c>
      <c r="AB162">
        <v>340.83</v>
      </c>
      <c r="AC162">
        <v>413.94</v>
      </c>
      <c r="AD162">
        <v>0</v>
      </c>
      <c r="AE162">
        <v>33495.480000000003</v>
      </c>
      <c r="AF162">
        <v>21875</v>
      </c>
      <c r="AG162" t="s">
        <v>113</v>
      </c>
      <c r="AH162" t="s">
        <v>114</v>
      </c>
      <c r="AI162" t="s">
        <v>113</v>
      </c>
      <c r="AJ162" t="s">
        <v>114</v>
      </c>
      <c r="AK162">
        <v>1225</v>
      </c>
      <c r="AL162" t="s">
        <v>115</v>
      </c>
      <c r="AM162">
        <v>1</v>
      </c>
      <c r="AN162">
        <v>1</v>
      </c>
      <c r="AO162">
        <v>2025</v>
      </c>
      <c r="AP162">
        <v>4</v>
      </c>
    </row>
    <row r="163" spans="1:42" x14ac:dyDescent="0.25">
      <c r="A163">
        <v>412.13</v>
      </c>
      <c r="B163">
        <v>87161.07</v>
      </c>
      <c r="C163">
        <v>27361.37</v>
      </c>
      <c r="D163">
        <v>26110.7</v>
      </c>
      <c r="E163">
        <v>25853.61</v>
      </c>
      <c r="F163">
        <v>166898.87</v>
      </c>
      <c r="G163">
        <v>14005.49</v>
      </c>
      <c r="H163">
        <v>45026.59</v>
      </c>
      <c r="I163">
        <v>13108.95</v>
      </c>
      <c r="J163">
        <v>72141.03</v>
      </c>
      <c r="K163">
        <v>239039.9</v>
      </c>
      <c r="L163">
        <v>115491.31</v>
      </c>
      <c r="M163">
        <v>18294.55</v>
      </c>
      <c r="N163">
        <v>15804.1</v>
      </c>
      <c r="O163">
        <v>3146.55</v>
      </c>
      <c r="P163">
        <v>152736.51999999999</v>
      </c>
      <c r="Q163">
        <v>2154.83</v>
      </c>
      <c r="R163">
        <v>6085.7</v>
      </c>
      <c r="S163">
        <v>759.74</v>
      </c>
      <c r="T163">
        <v>30834.71</v>
      </c>
      <c r="U163">
        <v>3614.3</v>
      </c>
      <c r="V163">
        <v>0</v>
      </c>
      <c r="W163">
        <v>55656.23</v>
      </c>
      <c r="X163">
        <v>99105.5</v>
      </c>
      <c r="Y163">
        <v>13765.94</v>
      </c>
      <c r="Z163">
        <v>46043.33</v>
      </c>
      <c r="AA163">
        <v>23368.720000000001</v>
      </c>
      <c r="AB163">
        <v>1463.56</v>
      </c>
      <c r="AC163">
        <v>10815.74</v>
      </c>
      <c r="AD163">
        <v>1843.69</v>
      </c>
      <c r="AE163">
        <v>588182.9</v>
      </c>
      <c r="AF163">
        <v>19805</v>
      </c>
      <c r="AG163" t="s">
        <v>105</v>
      </c>
      <c r="AH163" t="s">
        <v>106</v>
      </c>
      <c r="AI163" t="s">
        <v>105</v>
      </c>
      <c r="AJ163" t="s">
        <v>106</v>
      </c>
      <c r="AK163">
        <v>10052</v>
      </c>
      <c r="AL163" t="s">
        <v>64</v>
      </c>
      <c r="AM163">
        <v>3</v>
      </c>
      <c r="AN163">
        <v>3</v>
      </c>
      <c r="AO163">
        <v>2025</v>
      </c>
      <c r="AP163">
        <v>1</v>
      </c>
    </row>
    <row r="164" spans="1:42" x14ac:dyDescent="0.25">
      <c r="A164">
        <v>425.58</v>
      </c>
      <c r="B164">
        <v>951.29</v>
      </c>
      <c r="C164">
        <v>1041.04</v>
      </c>
      <c r="D164">
        <v>980.39</v>
      </c>
      <c r="E164">
        <v>0</v>
      </c>
      <c r="F164">
        <v>3398.3</v>
      </c>
      <c r="G164">
        <v>38.299999999999997</v>
      </c>
      <c r="H164">
        <v>122.28</v>
      </c>
      <c r="I164">
        <v>251.68</v>
      </c>
      <c r="J164">
        <v>412.26</v>
      </c>
      <c r="K164">
        <v>3810.55</v>
      </c>
      <c r="L164">
        <v>2788.86</v>
      </c>
      <c r="M164">
        <v>158.07</v>
      </c>
      <c r="N164">
        <v>33.020000000000003</v>
      </c>
      <c r="O164">
        <v>26.96</v>
      </c>
      <c r="P164">
        <v>3006.92</v>
      </c>
      <c r="Q164">
        <v>94.8</v>
      </c>
      <c r="R164">
        <v>178.34</v>
      </c>
      <c r="S164">
        <v>408.93</v>
      </c>
      <c r="T164">
        <v>0</v>
      </c>
      <c r="U164">
        <v>0</v>
      </c>
      <c r="V164">
        <v>0</v>
      </c>
      <c r="W164">
        <v>2203.06</v>
      </c>
      <c r="X164">
        <v>2885.13</v>
      </c>
      <c r="Y164">
        <v>112.47</v>
      </c>
      <c r="Z164">
        <v>434.95</v>
      </c>
      <c r="AA164">
        <v>0</v>
      </c>
      <c r="AB164">
        <v>39.159999999999997</v>
      </c>
      <c r="AC164">
        <v>1514.9</v>
      </c>
      <c r="AD164">
        <v>0</v>
      </c>
      <c r="AE164">
        <v>11804.08</v>
      </c>
      <c r="AF164">
        <v>20310</v>
      </c>
      <c r="AG164" t="s">
        <v>71</v>
      </c>
      <c r="AH164" t="s">
        <v>72</v>
      </c>
      <c r="AI164" t="s">
        <v>71</v>
      </c>
      <c r="AJ164" t="s">
        <v>72</v>
      </c>
      <c r="AK164">
        <v>16076</v>
      </c>
      <c r="AL164" t="s">
        <v>47</v>
      </c>
      <c r="AM164">
        <v>1</v>
      </c>
      <c r="AN164">
        <v>1</v>
      </c>
      <c r="AO164">
        <v>2025</v>
      </c>
      <c r="AP164">
        <v>4</v>
      </c>
    </row>
    <row r="165" spans="1:42" x14ac:dyDescent="0.25">
      <c r="A165">
        <v>445.11</v>
      </c>
      <c r="B165">
        <v>1798.21</v>
      </c>
      <c r="C165">
        <v>1574.84</v>
      </c>
      <c r="D165">
        <v>3224.57</v>
      </c>
      <c r="E165">
        <v>676.05</v>
      </c>
      <c r="F165">
        <v>7718.77</v>
      </c>
      <c r="G165">
        <v>141.52000000000001</v>
      </c>
      <c r="H165">
        <v>1364.68</v>
      </c>
      <c r="I165">
        <v>568.64</v>
      </c>
      <c r="J165">
        <v>2074.84</v>
      </c>
      <c r="K165">
        <v>9793.61</v>
      </c>
      <c r="L165">
        <v>3874.26</v>
      </c>
      <c r="M165">
        <v>1140.8499999999999</v>
      </c>
      <c r="N165">
        <v>0</v>
      </c>
      <c r="O165">
        <v>397.2</v>
      </c>
      <c r="P165">
        <v>5412.31</v>
      </c>
      <c r="Q165">
        <v>40.06</v>
      </c>
      <c r="R165">
        <v>69.63</v>
      </c>
      <c r="S165">
        <v>490.85</v>
      </c>
      <c r="T165">
        <v>1935.79</v>
      </c>
      <c r="U165">
        <v>0</v>
      </c>
      <c r="V165">
        <v>0</v>
      </c>
      <c r="W165">
        <v>3944.78</v>
      </c>
      <c r="X165">
        <v>6481.1</v>
      </c>
      <c r="Y165">
        <v>881.39</v>
      </c>
      <c r="Z165">
        <v>1433.1</v>
      </c>
      <c r="AA165">
        <v>2646.43</v>
      </c>
      <c r="AB165">
        <v>0</v>
      </c>
      <c r="AC165">
        <v>130.97999999999999</v>
      </c>
      <c r="AD165">
        <v>2031.4</v>
      </c>
      <c r="AE165">
        <v>28810.32</v>
      </c>
      <c r="AF165">
        <v>21634</v>
      </c>
      <c r="AG165" t="s">
        <v>111</v>
      </c>
      <c r="AH165" t="s">
        <v>112</v>
      </c>
      <c r="AI165" t="s">
        <v>111</v>
      </c>
      <c r="AJ165" t="s">
        <v>112</v>
      </c>
      <c r="AK165">
        <v>1146</v>
      </c>
      <c r="AL165" t="s">
        <v>44</v>
      </c>
      <c r="AM165">
        <v>2</v>
      </c>
      <c r="AN165">
        <v>2</v>
      </c>
      <c r="AO165">
        <v>2025</v>
      </c>
      <c r="AP165">
        <v>3</v>
      </c>
    </row>
    <row r="166" spans="1:42" x14ac:dyDescent="0.25">
      <c r="A166">
        <v>450.98</v>
      </c>
      <c r="B166">
        <v>1689.29</v>
      </c>
      <c r="C166">
        <v>1822.57</v>
      </c>
      <c r="D166">
        <v>3196.76</v>
      </c>
      <c r="E166">
        <v>411.15</v>
      </c>
      <c r="F166">
        <v>7570.75</v>
      </c>
      <c r="G166">
        <v>224.28</v>
      </c>
      <c r="H166">
        <v>1278.1300000000001</v>
      </c>
      <c r="I166">
        <v>671.97</v>
      </c>
      <c r="J166">
        <v>2174.38</v>
      </c>
      <c r="K166">
        <v>9745.1299999999992</v>
      </c>
      <c r="L166">
        <v>4609.07</v>
      </c>
      <c r="M166">
        <v>1008.48</v>
      </c>
      <c r="N166">
        <v>0</v>
      </c>
      <c r="O166">
        <v>277.87</v>
      </c>
      <c r="P166">
        <v>5895.41</v>
      </c>
      <c r="Q166">
        <v>38.46</v>
      </c>
      <c r="R166">
        <v>71.06</v>
      </c>
      <c r="S166">
        <v>466.33</v>
      </c>
      <c r="T166">
        <v>2478.4</v>
      </c>
      <c r="U166">
        <v>0</v>
      </c>
      <c r="V166">
        <v>0</v>
      </c>
      <c r="W166">
        <v>2743.47</v>
      </c>
      <c r="X166">
        <v>5797.71</v>
      </c>
      <c r="Y166">
        <v>769.5</v>
      </c>
      <c r="Z166">
        <v>1686.81</v>
      </c>
      <c r="AA166">
        <v>2156.89</v>
      </c>
      <c r="AB166">
        <v>0</v>
      </c>
      <c r="AC166">
        <v>133.56</v>
      </c>
      <c r="AD166">
        <v>1697.34</v>
      </c>
      <c r="AE166">
        <v>27882.35</v>
      </c>
      <c r="AF166">
        <v>21634</v>
      </c>
      <c r="AG166" t="s">
        <v>111</v>
      </c>
      <c r="AH166" t="s">
        <v>112</v>
      </c>
      <c r="AI166" t="s">
        <v>111</v>
      </c>
      <c r="AJ166" t="s">
        <v>112</v>
      </c>
      <c r="AK166">
        <v>1146</v>
      </c>
      <c r="AL166" t="s">
        <v>44</v>
      </c>
      <c r="AM166">
        <v>2</v>
      </c>
      <c r="AN166">
        <v>2</v>
      </c>
      <c r="AO166">
        <v>2025</v>
      </c>
      <c r="AP166">
        <v>1</v>
      </c>
    </row>
    <row r="167" spans="1:42" x14ac:dyDescent="0.25">
      <c r="A167">
        <v>461.06</v>
      </c>
      <c r="B167">
        <v>37787.620000000003</v>
      </c>
      <c r="C167">
        <v>8457.0400000000009</v>
      </c>
      <c r="D167">
        <v>65301.84</v>
      </c>
      <c r="E167">
        <v>16912.63</v>
      </c>
      <c r="F167">
        <v>128920.19</v>
      </c>
      <c r="G167">
        <v>10367.280000000001</v>
      </c>
      <c r="H167">
        <v>21951.41</v>
      </c>
      <c r="I167">
        <v>9360.1299999999992</v>
      </c>
      <c r="J167">
        <v>41678.82</v>
      </c>
      <c r="K167">
        <v>170599.01</v>
      </c>
      <c r="L167">
        <v>79.98</v>
      </c>
      <c r="M167">
        <v>6248.99</v>
      </c>
      <c r="N167">
        <v>40.19</v>
      </c>
      <c r="O167">
        <v>2278.11</v>
      </c>
      <c r="P167">
        <v>8647.27</v>
      </c>
      <c r="Q167">
        <v>0</v>
      </c>
      <c r="R167">
        <v>71</v>
      </c>
      <c r="S167">
        <v>284.83999999999997</v>
      </c>
      <c r="T167">
        <v>18725.05</v>
      </c>
      <c r="U167">
        <v>0</v>
      </c>
      <c r="V167">
        <v>0</v>
      </c>
      <c r="W167">
        <v>8077.17</v>
      </c>
      <c r="X167">
        <v>27158.06</v>
      </c>
      <c r="Y167">
        <v>0</v>
      </c>
      <c r="Z167">
        <v>16421.919999999998</v>
      </c>
      <c r="AA167">
        <v>3559.46</v>
      </c>
      <c r="AB167">
        <v>0</v>
      </c>
      <c r="AC167">
        <v>390.86</v>
      </c>
      <c r="AD167">
        <v>0</v>
      </c>
      <c r="AE167">
        <v>226776.57</v>
      </c>
      <c r="AF167">
        <v>20427</v>
      </c>
      <c r="AG167" t="s">
        <v>116</v>
      </c>
      <c r="AH167" t="s">
        <v>117</v>
      </c>
      <c r="AI167" t="s">
        <v>116</v>
      </c>
      <c r="AJ167" t="s">
        <v>117</v>
      </c>
      <c r="AK167">
        <v>6918</v>
      </c>
      <c r="AL167" t="s">
        <v>44</v>
      </c>
      <c r="AM167">
        <v>2</v>
      </c>
      <c r="AN167">
        <v>2</v>
      </c>
      <c r="AO167">
        <v>2025</v>
      </c>
      <c r="AP167">
        <v>2</v>
      </c>
    </row>
    <row r="168" spans="1:42" x14ac:dyDescent="0.25">
      <c r="A168">
        <v>461.66</v>
      </c>
      <c r="B168">
        <v>5258.17</v>
      </c>
      <c r="C168">
        <v>909.94</v>
      </c>
      <c r="D168">
        <v>88.45</v>
      </c>
      <c r="E168">
        <v>0</v>
      </c>
      <c r="F168">
        <v>6718.2</v>
      </c>
      <c r="G168">
        <v>1222.05</v>
      </c>
      <c r="H168">
        <v>914.67</v>
      </c>
      <c r="I168">
        <v>568.33000000000004</v>
      </c>
      <c r="J168">
        <v>2705.05</v>
      </c>
      <c r="K168">
        <v>9423.25</v>
      </c>
      <c r="L168">
        <v>17.23</v>
      </c>
      <c r="M168">
        <v>1492.86</v>
      </c>
      <c r="N168">
        <v>2.4</v>
      </c>
      <c r="O168">
        <v>298.93</v>
      </c>
      <c r="P168">
        <v>1811.42</v>
      </c>
      <c r="Q168">
        <v>3.44</v>
      </c>
      <c r="R168">
        <v>0</v>
      </c>
      <c r="S168">
        <v>104.95</v>
      </c>
      <c r="T168">
        <v>1730.52</v>
      </c>
      <c r="U168">
        <v>0</v>
      </c>
      <c r="V168">
        <v>0</v>
      </c>
      <c r="W168">
        <v>82.41</v>
      </c>
      <c r="X168">
        <v>1921.32</v>
      </c>
      <c r="Y168">
        <v>1.63</v>
      </c>
      <c r="Z168">
        <v>94.33</v>
      </c>
      <c r="AA168">
        <v>472.23</v>
      </c>
      <c r="AB168">
        <v>33.6</v>
      </c>
      <c r="AC168">
        <v>794</v>
      </c>
      <c r="AD168">
        <v>0</v>
      </c>
      <c r="AE168">
        <v>14551.78</v>
      </c>
      <c r="AF168">
        <v>20304</v>
      </c>
      <c r="AG168" t="s">
        <v>103</v>
      </c>
      <c r="AH168" t="s">
        <v>104</v>
      </c>
      <c r="AI168" t="s">
        <v>103</v>
      </c>
      <c r="AJ168" t="s">
        <v>104</v>
      </c>
      <c r="AK168">
        <v>11025</v>
      </c>
      <c r="AL168" t="s">
        <v>50</v>
      </c>
      <c r="AM168">
        <v>3</v>
      </c>
      <c r="AN168">
        <v>3</v>
      </c>
      <c r="AO168">
        <v>2025</v>
      </c>
      <c r="AP168">
        <v>1</v>
      </c>
    </row>
    <row r="169" spans="1:42" x14ac:dyDescent="0.25">
      <c r="A169">
        <v>462.09</v>
      </c>
      <c r="B169">
        <v>2121.52</v>
      </c>
      <c r="C169">
        <v>873.22</v>
      </c>
      <c r="D169">
        <v>308.69</v>
      </c>
      <c r="E169">
        <v>728.97</v>
      </c>
      <c r="F169">
        <v>4494.47</v>
      </c>
      <c r="G169">
        <v>198.92</v>
      </c>
      <c r="H169">
        <v>551.25</v>
      </c>
      <c r="I169">
        <v>310.66000000000003</v>
      </c>
      <c r="J169">
        <v>1060.83</v>
      </c>
      <c r="K169">
        <v>5555.3</v>
      </c>
      <c r="L169">
        <v>308.57</v>
      </c>
      <c r="M169">
        <v>2866.72</v>
      </c>
      <c r="N169">
        <v>0</v>
      </c>
      <c r="P169">
        <v>3175.29</v>
      </c>
      <c r="Q169">
        <v>26.25</v>
      </c>
      <c r="R169">
        <v>214.25</v>
      </c>
      <c r="S169">
        <v>382.63</v>
      </c>
      <c r="T169">
        <v>1539.92</v>
      </c>
      <c r="W169">
        <v>0</v>
      </c>
      <c r="X169">
        <v>2163.0500000000002</v>
      </c>
      <c r="Y169">
        <v>437</v>
      </c>
      <c r="Z169">
        <v>0</v>
      </c>
      <c r="AA169">
        <v>2577.4299999999998</v>
      </c>
      <c r="AC169">
        <v>798.57</v>
      </c>
      <c r="AD169">
        <v>0</v>
      </c>
      <c r="AE169">
        <v>14706.63</v>
      </c>
      <c r="AF169">
        <v>20372</v>
      </c>
      <c r="AG169" t="s">
        <v>45</v>
      </c>
      <c r="AH169" t="s">
        <v>46</v>
      </c>
      <c r="AI169" t="s">
        <v>45</v>
      </c>
      <c r="AJ169" t="s">
        <v>46</v>
      </c>
      <c r="AK169">
        <v>6774</v>
      </c>
      <c r="AL169" t="s">
        <v>44</v>
      </c>
      <c r="AM169">
        <v>1</v>
      </c>
      <c r="AN169">
        <v>1</v>
      </c>
      <c r="AO169">
        <v>2025</v>
      </c>
      <c r="AP169">
        <v>2</v>
      </c>
    </row>
    <row r="170" spans="1:42" x14ac:dyDescent="0.25">
      <c r="A170">
        <v>462.5</v>
      </c>
      <c r="B170">
        <v>2960.87</v>
      </c>
      <c r="C170">
        <v>2083.54</v>
      </c>
      <c r="D170">
        <v>1873.79</v>
      </c>
      <c r="E170">
        <v>307.74</v>
      </c>
      <c r="F170">
        <v>7688.43</v>
      </c>
      <c r="G170">
        <v>590.49</v>
      </c>
      <c r="H170">
        <v>1482</v>
      </c>
      <c r="I170">
        <v>613.76</v>
      </c>
      <c r="J170">
        <v>2686.25</v>
      </c>
      <c r="K170">
        <v>10374.68</v>
      </c>
      <c r="L170">
        <v>5187.51</v>
      </c>
      <c r="M170">
        <v>1119.1600000000001</v>
      </c>
      <c r="N170">
        <v>0</v>
      </c>
      <c r="O170">
        <v>399.77</v>
      </c>
      <c r="P170">
        <v>6706.44</v>
      </c>
      <c r="Q170">
        <v>224.01</v>
      </c>
      <c r="R170">
        <v>108.72</v>
      </c>
      <c r="S170">
        <v>333.31</v>
      </c>
      <c r="T170">
        <v>2034.57</v>
      </c>
      <c r="U170">
        <v>0</v>
      </c>
      <c r="V170">
        <v>38.25</v>
      </c>
      <c r="W170">
        <v>5472.73</v>
      </c>
      <c r="X170">
        <v>8211.59</v>
      </c>
      <c r="Y170">
        <v>413.27</v>
      </c>
      <c r="Z170">
        <v>2129.0500000000002</v>
      </c>
      <c r="AA170">
        <v>4676.83</v>
      </c>
      <c r="AB170">
        <v>14.2</v>
      </c>
      <c r="AC170">
        <v>58.85</v>
      </c>
      <c r="AD170">
        <v>0</v>
      </c>
      <c r="AE170">
        <v>32584.91</v>
      </c>
      <c r="AF170">
        <v>20108</v>
      </c>
      <c r="AG170" t="s">
        <v>118</v>
      </c>
      <c r="AH170" t="s">
        <v>119</v>
      </c>
      <c r="AI170" t="s">
        <v>118</v>
      </c>
      <c r="AJ170" t="s">
        <v>119</v>
      </c>
      <c r="AK170">
        <v>6721</v>
      </c>
      <c r="AL170" t="s">
        <v>44</v>
      </c>
      <c r="AM170">
        <v>2</v>
      </c>
      <c r="AN170">
        <v>2</v>
      </c>
      <c r="AO170">
        <v>2025</v>
      </c>
      <c r="AP170">
        <v>1</v>
      </c>
    </row>
    <row r="171" spans="1:42" x14ac:dyDescent="0.25">
      <c r="A171">
        <v>465.63</v>
      </c>
      <c r="B171">
        <v>2450.17</v>
      </c>
      <c r="C171">
        <v>856.81</v>
      </c>
      <c r="D171">
        <v>407.51</v>
      </c>
      <c r="E171">
        <v>728.97</v>
      </c>
      <c r="F171">
        <v>4909.09</v>
      </c>
      <c r="G171">
        <v>53.19</v>
      </c>
      <c r="H171">
        <v>423.73</v>
      </c>
      <c r="I171">
        <v>332.65</v>
      </c>
      <c r="J171">
        <v>809.57</v>
      </c>
      <c r="K171">
        <v>5718.65</v>
      </c>
      <c r="L171">
        <v>858.72</v>
      </c>
      <c r="M171">
        <v>5398.56</v>
      </c>
      <c r="N171">
        <v>0</v>
      </c>
      <c r="P171">
        <v>6257.29</v>
      </c>
      <c r="Q171">
        <v>4.09</v>
      </c>
      <c r="R171">
        <v>97.97</v>
      </c>
      <c r="S171">
        <v>335.19</v>
      </c>
      <c r="T171">
        <v>820.23</v>
      </c>
      <c r="W171">
        <v>0</v>
      </c>
      <c r="X171">
        <v>1257.48</v>
      </c>
      <c r="Y171">
        <v>567.91999999999996</v>
      </c>
      <c r="Z171">
        <v>0</v>
      </c>
      <c r="AA171">
        <v>2297.6999999999998</v>
      </c>
      <c r="AC171">
        <v>756.17</v>
      </c>
      <c r="AD171">
        <v>0</v>
      </c>
      <c r="AE171">
        <v>16855.2</v>
      </c>
      <c r="AF171">
        <v>20372</v>
      </c>
      <c r="AG171" t="s">
        <v>45</v>
      </c>
      <c r="AH171" t="s">
        <v>46</v>
      </c>
      <c r="AI171" t="s">
        <v>45</v>
      </c>
      <c r="AJ171" t="s">
        <v>46</v>
      </c>
      <c r="AK171">
        <v>6774</v>
      </c>
      <c r="AL171" t="s">
        <v>44</v>
      </c>
      <c r="AM171">
        <v>1</v>
      </c>
      <c r="AN171">
        <v>1</v>
      </c>
      <c r="AO171">
        <v>2025</v>
      </c>
      <c r="AP171">
        <v>3</v>
      </c>
    </row>
    <row r="172" spans="1:42" x14ac:dyDescent="0.25">
      <c r="A172">
        <v>484.78</v>
      </c>
      <c r="B172">
        <v>0</v>
      </c>
      <c r="C172">
        <v>30.34</v>
      </c>
      <c r="D172">
        <v>32.15</v>
      </c>
      <c r="E172">
        <v>2824.14</v>
      </c>
      <c r="F172">
        <v>3371.41</v>
      </c>
      <c r="G172">
        <v>181.88</v>
      </c>
      <c r="H172">
        <v>474.7</v>
      </c>
      <c r="I172">
        <v>94.78</v>
      </c>
      <c r="J172">
        <v>751.36</v>
      </c>
      <c r="K172">
        <v>4122.7700000000004</v>
      </c>
      <c r="L172">
        <v>2620.4299999999998</v>
      </c>
      <c r="M172">
        <v>17.72</v>
      </c>
      <c r="N172">
        <v>0</v>
      </c>
      <c r="O172">
        <v>125.95</v>
      </c>
      <c r="P172">
        <v>2764.1</v>
      </c>
      <c r="Q172">
        <v>1428.94</v>
      </c>
      <c r="R172">
        <v>82.72</v>
      </c>
      <c r="S172">
        <v>64.260000000000005</v>
      </c>
      <c r="T172">
        <v>2695.29</v>
      </c>
      <c r="U172">
        <v>0</v>
      </c>
      <c r="V172">
        <v>77.41</v>
      </c>
      <c r="W172">
        <v>1704.7</v>
      </c>
      <c r="X172">
        <v>6053.32</v>
      </c>
      <c r="Y172">
        <v>78.03</v>
      </c>
      <c r="Z172">
        <v>43142.65</v>
      </c>
      <c r="AA172">
        <v>458.2</v>
      </c>
      <c r="AB172">
        <v>0</v>
      </c>
      <c r="AC172">
        <v>29.86</v>
      </c>
      <c r="AD172">
        <v>1607.06</v>
      </c>
      <c r="AE172">
        <v>58256</v>
      </c>
      <c r="AF172">
        <v>20100</v>
      </c>
      <c r="AG172" t="s">
        <v>51</v>
      </c>
      <c r="AH172" t="s">
        <v>52</v>
      </c>
      <c r="AI172" t="s">
        <v>51</v>
      </c>
      <c r="AJ172" t="s">
        <v>52</v>
      </c>
      <c r="AK172">
        <v>6758</v>
      </c>
      <c r="AL172" t="s">
        <v>44</v>
      </c>
      <c r="AM172">
        <v>3</v>
      </c>
      <c r="AN172">
        <v>3</v>
      </c>
      <c r="AO172">
        <v>2025</v>
      </c>
      <c r="AP172">
        <v>2</v>
      </c>
    </row>
    <row r="173" spans="1:42" x14ac:dyDescent="0.25">
      <c r="A173">
        <v>500.78</v>
      </c>
      <c r="B173">
        <v>976.52</v>
      </c>
      <c r="C173">
        <v>981.34</v>
      </c>
      <c r="D173">
        <v>696.79</v>
      </c>
      <c r="E173">
        <v>0</v>
      </c>
      <c r="F173">
        <v>3155.42</v>
      </c>
      <c r="G173">
        <v>34.020000000000003</v>
      </c>
      <c r="H173">
        <v>83.04</v>
      </c>
      <c r="I173">
        <v>252.74</v>
      </c>
      <c r="J173">
        <v>369.79</v>
      </c>
      <c r="K173">
        <v>3525.2</v>
      </c>
      <c r="L173">
        <v>3337.75</v>
      </c>
      <c r="M173">
        <v>279.72000000000003</v>
      </c>
      <c r="N173">
        <v>153.99</v>
      </c>
      <c r="O173">
        <v>40.39</v>
      </c>
      <c r="P173">
        <v>3811.84</v>
      </c>
      <c r="Q173">
        <v>2.08</v>
      </c>
      <c r="R173">
        <v>94.06</v>
      </c>
      <c r="S173">
        <v>432.1</v>
      </c>
      <c r="T173">
        <v>0</v>
      </c>
      <c r="U173">
        <v>0</v>
      </c>
      <c r="V173">
        <v>0</v>
      </c>
      <c r="W173">
        <v>2329.5</v>
      </c>
      <c r="X173">
        <v>2857.73</v>
      </c>
      <c r="Y173">
        <v>142.94999999999999</v>
      </c>
      <c r="Z173">
        <v>2568.69</v>
      </c>
      <c r="AA173">
        <v>0</v>
      </c>
      <c r="AB173">
        <v>0</v>
      </c>
      <c r="AC173">
        <v>4168.87</v>
      </c>
      <c r="AD173">
        <v>0</v>
      </c>
      <c r="AE173">
        <v>17075.29</v>
      </c>
      <c r="AF173">
        <v>20310</v>
      </c>
      <c r="AG173" t="s">
        <v>71</v>
      </c>
      <c r="AH173" t="s">
        <v>72</v>
      </c>
      <c r="AI173" t="s">
        <v>71</v>
      </c>
      <c r="AJ173" t="s">
        <v>72</v>
      </c>
      <c r="AK173">
        <v>16076</v>
      </c>
      <c r="AL173" t="s">
        <v>47</v>
      </c>
      <c r="AM173">
        <v>1</v>
      </c>
      <c r="AN173">
        <v>1</v>
      </c>
      <c r="AO173">
        <v>2025</v>
      </c>
      <c r="AP173">
        <v>1</v>
      </c>
    </row>
    <row r="174" spans="1:42" x14ac:dyDescent="0.25">
      <c r="A174">
        <v>506.92</v>
      </c>
      <c r="B174">
        <v>875.73</v>
      </c>
      <c r="C174">
        <v>1015.44</v>
      </c>
      <c r="D174">
        <v>793.13</v>
      </c>
      <c r="E174">
        <v>0</v>
      </c>
      <c r="F174">
        <v>3191.22</v>
      </c>
      <c r="G174">
        <v>33.479999999999997</v>
      </c>
      <c r="H174">
        <v>63.1</v>
      </c>
      <c r="I174">
        <v>243.22</v>
      </c>
      <c r="J174">
        <v>339.8</v>
      </c>
      <c r="K174">
        <v>3531.01</v>
      </c>
      <c r="L174">
        <v>2324.2800000000002</v>
      </c>
      <c r="M174">
        <v>283.3</v>
      </c>
      <c r="N174">
        <v>14.36</v>
      </c>
      <c r="O174">
        <v>21.38</v>
      </c>
      <c r="P174">
        <v>2643.32</v>
      </c>
      <c r="Q174">
        <v>12.6</v>
      </c>
      <c r="R174">
        <v>101.54</v>
      </c>
      <c r="S174">
        <v>432.84</v>
      </c>
      <c r="T174">
        <v>0</v>
      </c>
      <c r="U174">
        <v>0</v>
      </c>
      <c r="V174">
        <v>0</v>
      </c>
      <c r="W174">
        <v>1572.46</v>
      </c>
      <c r="X174">
        <v>2119.44</v>
      </c>
      <c r="Y174">
        <v>88.6</v>
      </c>
      <c r="Z174">
        <v>373.52</v>
      </c>
      <c r="AA174">
        <v>0</v>
      </c>
      <c r="AB174">
        <v>0</v>
      </c>
      <c r="AC174">
        <v>2809.85</v>
      </c>
      <c r="AD174">
        <v>0</v>
      </c>
      <c r="AE174">
        <v>11565.73</v>
      </c>
      <c r="AF174">
        <v>20310</v>
      </c>
      <c r="AG174" t="s">
        <v>71</v>
      </c>
      <c r="AH174" t="s">
        <v>72</v>
      </c>
      <c r="AI174" t="s">
        <v>71</v>
      </c>
      <c r="AJ174" t="s">
        <v>72</v>
      </c>
      <c r="AK174">
        <v>16076</v>
      </c>
      <c r="AL174" t="s">
        <v>47</v>
      </c>
      <c r="AM174">
        <v>1</v>
      </c>
      <c r="AN174">
        <v>1</v>
      </c>
      <c r="AO174">
        <v>2025</v>
      </c>
      <c r="AP174">
        <v>2</v>
      </c>
    </row>
    <row r="175" spans="1:42" x14ac:dyDescent="0.25">
      <c r="A175">
        <v>518.95000000000005</v>
      </c>
      <c r="B175">
        <v>91898.880000000005</v>
      </c>
      <c r="C175">
        <v>27289.68</v>
      </c>
      <c r="D175">
        <v>25750.1</v>
      </c>
      <c r="E175">
        <v>22208.58</v>
      </c>
      <c r="F175">
        <v>167666.18</v>
      </c>
      <c r="G175">
        <v>14539.72</v>
      </c>
      <c r="H175">
        <v>48375.53</v>
      </c>
      <c r="I175">
        <v>10003.58</v>
      </c>
      <c r="J175">
        <v>72918.83</v>
      </c>
      <c r="K175">
        <v>240585.01</v>
      </c>
      <c r="L175">
        <v>113523.2</v>
      </c>
      <c r="M175">
        <v>16305.34</v>
      </c>
      <c r="N175">
        <v>16945.87</v>
      </c>
      <c r="O175">
        <v>1995.12</v>
      </c>
      <c r="P175">
        <v>148769.53</v>
      </c>
      <c r="Q175">
        <v>3069</v>
      </c>
      <c r="R175">
        <v>6545.04</v>
      </c>
      <c r="S175">
        <v>1139.8800000000001</v>
      </c>
      <c r="T175">
        <v>32085.69</v>
      </c>
      <c r="U175">
        <v>4868.4799999999996</v>
      </c>
      <c r="V175">
        <v>0</v>
      </c>
      <c r="W175">
        <v>56764.23</v>
      </c>
      <c r="X175">
        <v>104472.32000000001</v>
      </c>
      <c r="Y175">
        <v>14998.39</v>
      </c>
      <c r="Z175">
        <v>42858.53</v>
      </c>
      <c r="AA175">
        <v>22360.57</v>
      </c>
      <c r="AB175">
        <v>1231.3699999999999</v>
      </c>
      <c r="AC175">
        <v>10076.66</v>
      </c>
      <c r="AD175">
        <v>2310.25</v>
      </c>
      <c r="AE175">
        <v>587662.64</v>
      </c>
      <c r="AF175">
        <v>19805</v>
      </c>
      <c r="AG175" t="s">
        <v>105</v>
      </c>
      <c r="AH175" t="s">
        <v>106</v>
      </c>
      <c r="AI175" t="s">
        <v>105</v>
      </c>
      <c r="AJ175" t="s">
        <v>106</v>
      </c>
      <c r="AK175">
        <v>10052</v>
      </c>
      <c r="AL175" t="s">
        <v>64</v>
      </c>
      <c r="AM175">
        <v>3</v>
      </c>
      <c r="AN175">
        <v>3</v>
      </c>
      <c r="AO175">
        <v>2025</v>
      </c>
      <c r="AP175">
        <v>4</v>
      </c>
    </row>
    <row r="176" spans="1:42" x14ac:dyDescent="0.25">
      <c r="A176">
        <v>521.09</v>
      </c>
      <c r="B176">
        <v>2856.62</v>
      </c>
      <c r="C176">
        <v>1938.8</v>
      </c>
      <c r="D176">
        <v>1921.95</v>
      </c>
      <c r="E176">
        <v>298.48</v>
      </c>
      <c r="F176">
        <v>7536.94</v>
      </c>
      <c r="G176">
        <v>551.05999999999995</v>
      </c>
      <c r="H176">
        <v>1498.48</v>
      </c>
      <c r="I176">
        <v>558.63</v>
      </c>
      <c r="J176">
        <v>2608.16</v>
      </c>
      <c r="K176">
        <v>10145.11</v>
      </c>
      <c r="L176">
        <v>4792.54</v>
      </c>
      <c r="M176">
        <v>740.34</v>
      </c>
      <c r="N176">
        <v>0</v>
      </c>
      <c r="O176">
        <v>350.62</v>
      </c>
      <c r="P176">
        <v>5883.5</v>
      </c>
      <c r="Q176">
        <v>85.32</v>
      </c>
      <c r="R176">
        <v>78.31</v>
      </c>
      <c r="S176">
        <v>366.51</v>
      </c>
      <c r="T176">
        <v>2583.4899999999998</v>
      </c>
      <c r="U176">
        <v>0</v>
      </c>
      <c r="V176">
        <v>18</v>
      </c>
      <c r="W176">
        <v>5729.76</v>
      </c>
      <c r="X176">
        <v>8861.39</v>
      </c>
      <c r="Y176">
        <v>449.01</v>
      </c>
      <c r="Z176">
        <v>1995.12</v>
      </c>
      <c r="AA176">
        <v>4525.84</v>
      </c>
      <c r="AB176">
        <v>14.73</v>
      </c>
      <c r="AC176">
        <v>71.930000000000007</v>
      </c>
      <c r="AD176">
        <v>0</v>
      </c>
      <c r="AE176">
        <v>31946.62</v>
      </c>
      <c r="AF176">
        <v>20108</v>
      </c>
      <c r="AG176" t="s">
        <v>118</v>
      </c>
      <c r="AH176" t="s">
        <v>119</v>
      </c>
      <c r="AI176" t="s">
        <v>118</v>
      </c>
      <c r="AJ176" t="s">
        <v>119</v>
      </c>
      <c r="AK176">
        <v>6721</v>
      </c>
      <c r="AL176" t="s">
        <v>44</v>
      </c>
      <c r="AM176">
        <v>2</v>
      </c>
      <c r="AN176">
        <v>2</v>
      </c>
      <c r="AO176">
        <v>2025</v>
      </c>
      <c r="AP176">
        <v>2</v>
      </c>
    </row>
    <row r="177" spans="1:42" x14ac:dyDescent="0.25">
      <c r="A177">
        <v>521.09</v>
      </c>
      <c r="B177">
        <v>5245.71</v>
      </c>
      <c r="C177">
        <v>2174.36</v>
      </c>
      <c r="D177">
        <v>2100.36</v>
      </c>
      <c r="E177">
        <v>463.96</v>
      </c>
      <c r="F177">
        <v>10505.47</v>
      </c>
      <c r="G177">
        <v>612.67999999999995</v>
      </c>
      <c r="H177">
        <v>1894.91</v>
      </c>
      <c r="I177">
        <v>706.33</v>
      </c>
      <c r="J177">
        <v>3213.93</v>
      </c>
      <c r="K177">
        <v>13719.39</v>
      </c>
      <c r="L177">
        <v>4618.26</v>
      </c>
      <c r="M177">
        <v>1248.48</v>
      </c>
      <c r="N177">
        <v>0</v>
      </c>
      <c r="O177">
        <v>548.94000000000005</v>
      </c>
      <c r="P177">
        <v>6415.69</v>
      </c>
      <c r="Q177">
        <v>124</v>
      </c>
      <c r="R177">
        <v>83.25</v>
      </c>
      <c r="S177">
        <v>422.89</v>
      </c>
      <c r="T177">
        <v>3089.56</v>
      </c>
      <c r="U177">
        <v>0</v>
      </c>
      <c r="V177">
        <v>0</v>
      </c>
      <c r="W177">
        <v>8484.76</v>
      </c>
      <c r="X177">
        <v>12204.46</v>
      </c>
      <c r="Y177">
        <v>373.68</v>
      </c>
      <c r="Z177">
        <v>1225.73</v>
      </c>
      <c r="AA177">
        <v>5080.74</v>
      </c>
      <c r="AB177">
        <v>20</v>
      </c>
      <c r="AC177">
        <v>104.49</v>
      </c>
      <c r="AD177">
        <v>0</v>
      </c>
      <c r="AE177">
        <v>39144.18</v>
      </c>
      <c r="AF177">
        <v>20108</v>
      </c>
      <c r="AG177" t="s">
        <v>118</v>
      </c>
      <c r="AH177" t="s">
        <v>119</v>
      </c>
      <c r="AI177" t="s">
        <v>118</v>
      </c>
      <c r="AJ177" t="s">
        <v>119</v>
      </c>
      <c r="AK177">
        <v>6721</v>
      </c>
      <c r="AL177" t="s">
        <v>44</v>
      </c>
      <c r="AM177">
        <v>2</v>
      </c>
      <c r="AN177">
        <v>2</v>
      </c>
      <c r="AO177">
        <v>2025</v>
      </c>
      <c r="AP177">
        <v>3</v>
      </c>
    </row>
    <row r="178" spans="1:42" x14ac:dyDescent="0.25">
      <c r="A178">
        <v>525.63</v>
      </c>
      <c r="B178">
        <v>4641.04</v>
      </c>
      <c r="C178">
        <v>1171.21</v>
      </c>
      <c r="D178">
        <v>13.11</v>
      </c>
      <c r="E178">
        <v>0</v>
      </c>
      <c r="F178">
        <v>6350.99</v>
      </c>
      <c r="G178">
        <v>566</v>
      </c>
      <c r="H178">
        <v>260.16000000000003</v>
      </c>
      <c r="I178">
        <v>415.66</v>
      </c>
      <c r="J178">
        <v>1241.82</v>
      </c>
      <c r="K178">
        <v>7592.81</v>
      </c>
      <c r="L178">
        <v>9.44</v>
      </c>
      <c r="M178">
        <v>270.39</v>
      </c>
      <c r="N178">
        <v>0</v>
      </c>
      <c r="O178">
        <v>0</v>
      </c>
      <c r="P178">
        <v>279.83</v>
      </c>
      <c r="Q178">
        <v>0</v>
      </c>
      <c r="R178">
        <v>0</v>
      </c>
      <c r="S178">
        <v>235.98</v>
      </c>
      <c r="T178">
        <v>0</v>
      </c>
      <c r="U178">
        <v>0</v>
      </c>
      <c r="V178">
        <v>0</v>
      </c>
      <c r="W178">
        <v>0</v>
      </c>
      <c r="X178">
        <v>235.98</v>
      </c>
      <c r="Y178">
        <v>0</v>
      </c>
      <c r="Z178">
        <v>504.47</v>
      </c>
      <c r="AA178">
        <v>151.62</v>
      </c>
      <c r="AB178">
        <v>0</v>
      </c>
      <c r="AC178">
        <v>6826.14</v>
      </c>
      <c r="AD178">
        <v>0</v>
      </c>
      <c r="AE178">
        <v>15590.85</v>
      </c>
      <c r="AF178">
        <v>20378</v>
      </c>
      <c r="AG178" t="s">
        <v>67</v>
      </c>
      <c r="AH178" t="s">
        <v>68</v>
      </c>
      <c r="AI178" t="s">
        <v>67</v>
      </c>
      <c r="AJ178" t="s">
        <v>68</v>
      </c>
      <c r="AK178">
        <v>11022</v>
      </c>
      <c r="AL178" t="s">
        <v>50</v>
      </c>
      <c r="AM178">
        <v>2</v>
      </c>
      <c r="AN178">
        <v>2</v>
      </c>
      <c r="AO178">
        <v>2025</v>
      </c>
      <c r="AP178">
        <v>3</v>
      </c>
    </row>
    <row r="179" spans="1:42" x14ac:dyDescent="0.25">
      <c r="A179">
        <v>544.05999999999995</v>
      </c>
      <c r="B179">
        <v>0</v>
      </c>
      <c r="C179">
        <v>0</v>
      </c>
      <c r="D179">
        <v>0</v>
      </c>
      <c r="E179">
        <v>0</v>
      </c>
      <c r="F179">
        <v>544.05999999999995</v>
      </c>
      <c r="G179">
        <v>0</v>
      </c>
      <c r="H179">
        <v>119.41</v>
      </c>
      <c r="I179">
        <v>21.15</v>
      </c>
      <c r="J179">
        <v>140.55000000000001</v>
      </c>
      <c r="K179">
        <v>684.61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927.53</v>
      </c>
      <c r="AD179">
        <v>6915.76</v>
      </c>
      <c r="AE179">
        <v>8527.89</v>
      </c>
      <c r="AF179">
        <v>20100</v>
      </c>
      <c r="AG179" t="s">
        <v>51</v>
      </c>
      <c r="AH179" t="s">
        <v>52</v>
      </c>
      <c r="AI179" t="s">
        <v>51</v>
      </c>
      <c r="AJ179" t="s">
        <v>52</v>
      </c>
      <c r="AK179">
        <v>16758</v>
      </c>
      <c r="AL179" t="s">
        <v>64</v>
      </c>
      <c r="AM179">
        <v>3</v>
      </c>
      <c r="AN179">
        <v>3</v>
      </c>
      <c r="AO179">
        <v>2025</v>
      </c>
      <c r="AP179">
        <v>4</v>
      </c>
    </row>
    <row r="180" spans="1:42" x14ac:dyDescent="0.25">
      <c r="A180">
        <v>544.24</v>
      </c>
      <c r="B180">
        <v>37533.83</v>
      </c>
      <c r="C180">
        <v>7843.47</v>
      </c>
      <c r="D180">
        <v>63891.63</v>
      </c>
      <c r="E180">
        <v>17206.64</v>
      </c>
      <c r="F180">
        <v>127019.8</v>
      </c>
      <c r="G180">
        <v>10925.02</v>
      </c>
      <c r="H180">
        <v>24012.13</v>
      </c>
      <c r="I180">
        <v>9117.41</v>
      </c>
      <c r="J180">
        <v>44054.559999999998</v>
      </c>
      <c r="K180">
        <v>171074.36</v>
      </c>
      <c r="L180">
        <v>215.27</v>
      </c>
      <c r="M180">
        <v>6166.36</v>
      </c>
      <c r="N180">
        <v>65.52</v>
      </c>
      <c r="O180">
        <v>2377.27</v>
      </c>
      <c r="P180">
        <v>8824.41</v>
      </c>
      <c r="Q180">
        <v>0</v>
      </c>
      <c r="R180">
        <v>78.34</v>
      </c>
      <c r="S180">
        <v>287.64</v>
      </c>
      <c r="T180">
        <v>21850.41</v>
      </c>
      <c r="U180">
        <v>0</v>
      </c>
      <c r="V180">
        <v>0</v>
      </c>
      <c r="W180">
        <v>7863.01</v>
      </c>
      <c r="X180">
        <v>30079.39</v>
      </c>
      <c r="Y180">
        <v>0</v>
      </c>
      <c r="Z180">
        <v>15907.72</v>
      </c>
      <c r="AA180">
        <v>3425.09</v>
      </c>
      <c r="AB180">
        <v>0</v>
      </c>
      <c r="AC180">
        <v>555.11</v>
      </c>
      <c r="AD180">
        <v>0</v>
      </c>
      <c r="AE180">
        <v>229866.09</v>
      </c>
      <c r="AF180">
        <v>20427</v>
      </c>
      <c r="AG180" t="s">
        <v>116</v>
      </c>
      <c r="AH180" t="s">
        <v>117</v>
      </c>
      <c r="AI180" t="s">
        <v>116</v>
      </c>
      <c r="AJ180" t="s">
        <v>117</v>
      </c>
      <c r="AK180">
        <v>6918</v>
      </c>
      <c r="AL180" t="s">
        <v>44</v>
      </c>
      <c r="AM180">
        <v>2</v>
      </c>
      <c r="AN180">
        <v>2</v>
      </c>
      <c r="AO180">
        <v>2025</v>
      </c>
      <c r="AP180">
        <v>3</v>
      </c>
    </row>
    <row r="181" spans="1:42" x14ac:dyDescent="0.25">
      <c r="A181">
        <v>546.74</v>
      </c>
      <c r="B181">
        <v>9809.9</v>
      </c>
      <c r="C181">
        <v>2217.63</v>
      </c>
      <c r="D181">
        <v>2896.02</v>
      </c>
      <c r="E181">
        <v>2947.12</v>
      </c>
      <c r="F181">
        <v>18417.41</v>
      </c>
      <c r="G181">
        <v>1901</v>
      </c>
      <c r="H181">
        <v>2014.05</v>
      </c>
      <c r="I181">
        <v>1064.51</v>
      </c>
      <c r="J181">
        <v>4979.55</v>
      </c>
      <c r="K181">
        <v>23396.959999999999</v>
      </c>
      <c r="L181">
        <v>15829.73</v>
      </c>
      <c r="M181">
        <v>2898.69</v>
      </c>
      <c r="N181">
        <v>0</v>
      </c>
      <c r="O181">
        <v>484.96</v>
      </c>
      <c r="P181">
        <v>19213.38</v>
      </c>
      <c r="Q181">
        <v>22.31</v>
      </c>
      <c r="R181">
        <v>1094.25</v>
      </c>
      <c r="S181">
        <v>600.44000000000005</v>
      </c>
      <c r="T181">
        <v>10516.37</v>
      </c>
      <c r="U181">
        <v>0</v>
      </c>
      <c r="V181">
        <v>1192.47</v>
      </c>
      <c r="W181">
        <v>9435.92</v>
      </c>
      <c r="X181">
        <v>22861.759999999998</v>
      </c>
      <c r="Y181">
        <v>1545.8</v>
      </c>
      <c r="Z181">
        <v>9045.5300000000007</v>
      </c>
      <c r="AA181">
        <v>1481.68</v>
      </c>
      <c r="AB181">
        <v>1219.8599999999999</v>
      </c>
      <c r="AC181">
        <v>1448.01</v>
      </c>
      <c r="AD181">
        <v>3166.64</v>
      </c>
      <c r="AE181">
        <v>83379.600000000006</v>
      </c>
      <c r="AF181">
        <v>20151</v>
      </c>
      <c r="AG181" t="s">
        <v>97</v>
      </c>
      <c r="AH181" t="s">
        <v>98</v>
      </c>
      <c r="AI181" t="s">
        <v>97</v>
      </c>
      <c r="AJ181" t="s">
        <v>98</v>
      </c>
      <c r="AK181">
        <v>16052</v>
      </c>
      <c r="AL181" t="s">
        <v>50</v>
      </c>
      <c r="AM181">
        <v>2</v>
      </c>
      <c r="AN181">
        <v>2</v>
      </c>
      <c r="AO181">
        <v>2025</v>
      </c>
      <c r="AP181">
        <v>3</v>
      </c>
    </row>
    <row r="182" spans="1:42" x14ac:dyDescent="0.25">
      <c r="A182">
        <v>557</v>
      </c>
      <c r="B182">
        <v>24902</v>
      </c>
      <c r="C182">
        <v>2621</v>
      </c>
      <c r="D182">
        <v>5413</v>
      </c>
      <c r="E182">
        <v>9589</v>
      </c>
      <c r="F182">
        <v>43082</v>
      </c>
      <c r="G182">
        <v>4360</v>
      </c>
      <c r="H182">
        <v>11470</v>
      </c>
      <c r="I182">
        <v>2815</v>
      </c>
      <c r="J182">
        <v>18644</v>
      </c>
      <c r="K182">
        <v>61726</v>
      </c>
      <c r="L182">
        <v>31618</v>
      </c>
      <c r="M182">
        <v>1402</v>
      </c>
      <c r="N182">
        <v>4176</v>
      </c>
      <c r="O182">
        <v>3375</v>
      </c>
      <c r="P182">
        <v>40571</v>
      </c>
      <c r="Q182">
        <v>1475</v>
      </c>
      <c r="R182">
        <v>477</v>
      </c>
      <c r="S182">
        <v>265</v>
      </c>
      <c r="T182">
        <v>8437</v>
      </c>
      <c r="U182">
        <v>450</v>
      </c>
      <c r="V182">
        <v>0</v>
      </c>
      <c r="W182">
        <v>16055</v>
      </c>
      <c r="X182">
        <v>27159</v>
      </c>
      <c r="Y182">
        <v>3392</v>
      </c>
      <c r="Z182">
        <v>10556</v>
      </c>
      <c r="AA182">
        <v>9004</v>
      </c>
      <c r="AB182">
        <v>0</v>
      </c>
      <c r="AC182">
        <v>1762</v>
      </c>
      <c r="AD182">
        <v>0</v>
      </c>
      <c r="AE182">
        <v>154170</v>
      </c>
      <c r="AF182">
        <v>19930</v>
      </c>
      <c r="AG182" t="s">
        <v>107</v>
      </c>
      <c r="AH182" t="s">
        <v>108</v>
      </c>
      <c r="AI182" t="s">
        <v>107</v>
      </c>
      <c r="AJ182" t="s">
        <v>108</v>
      </c>
      <c r="AK182">
        <v>16031</v>
      </c>
      <c r="AL182" t="s">
        <v>50</v>
      </c>
      <c r="AM182">
        <v>3</v>
      </c>
      <c r="AN182">
        <v>3</v>
      </c>
      <c r="AO182">
        <v>2025</v>
      </c>
      <c r="AP182">
        <v>2</v>
      </c>
    </row>
    <row r="183" spans="1:42" x14ac:dyDescent="0.25">
      <c r="A183">
        <v>565.36</v>
      </c>
      <c r="B183">
        <v>5194.3100000000004</v>
      </c>
      <c r="C183">
        <v>1320.53</v>
      </c>
      <c r="D183">
        <v>17.46</v>
      </c>
      <c r="E183">
        <v>0</v>
      </c>
      <c r="F183">
        <v>7097.66</v>
      </c>
      <c r="G183">
        <v>689.64</v>
      </c>
      <c r="H183">
        <v>385.58</v>
      </c>
      <c r="I183">
        <v>491.17</v>
      </c>
      <c r="J183">
        <v>1566.39</v>
      </c>
      <c r="K183">
        <v>8664.0499999999993</v>
      </c>
      <c r="L183">
        <v>6.86</v>
      </c>
      <c r="M183">
        <v>272.45</v>
      </c>
      <c r="N183">
        <v>0</v>
      </c>
      <c r="O183">
        <v>0</v>
      </c>
      <c r="P183">
        <v>279.31</v>
      </c>
      <c r="Q183">
        <v>0</v>
      </c>
      <c r="R183">
        <v>0</v>
      </c>
      <c r="S183">
        <v>268.31</v>
      </c>
      <c r="T183">
        <v>0</v>
      </c>
      <c r="U183">
        <v>0</v>
      </c>
      <c r="V183">
        <v>0</v>
      </c>
      <c r="W183">
        <v>0</v>
      </c>
      <c r="X183">
        <v>268.31</v>
      </c>
      <c r="Y183">
        <v>0</v>
      </c>
      <c r="Z183">
        <v>454.49</v>
      </c>
      <c r="AA183">
        <v>148.65</v>
      </c>
      <c r="AB183">
        <v>0</v>
      </c>
      <c r="AC183">
        <v>7255.68</v>
      </c>
      <c r="AD183">
        <v>0</v>
      </c>
      <c r="AE183">
        <v>17070.490000000002</v>
      </c>
      <c r="AF183">
        <v>20378</v>
      </c>
      <c r="AG183" t="s">
        <v>67</v>
      </c>
      <c r="AH183" t="s">
        <v>68</v>
      </c>
      <c r="AI183" t="s">
        <v>67</v>
      </c>
      <c r="AJ183" t="s">
        <v>68</v>
      </c>
      <c r="AK183">
        <v>11022</v>
      </c>
      <c r="AL183" t="s">
        <v>50</v>
      </c>
      <c r="AM183">
        <v>2</v>
      </c>
      <c r="AN183">
        <v>2</v>
      </c>
      <c r="AO183">
        <v>2025</v>
      </c>
      <c r="AP183">
        <v>2</v>
      </c>
    </row>
    <row r="184" spans="1:42" x14ac:dyDescent="0.25">
      <c r="A184">
        <v>566.74</v>
      </c>
      <c r="B184">
        <v>2026.52</v>
      </c>
      <c r="C184">
        <v>893.56</v>
      </c>
      <c r="D184">
        <v>292.26</v>
      </c>
      <c r="E184">
        <v>746.24</v>
      </c>
      <c r="F184">
        <v>4525.32</v>
      </c>
      <c r="G184">
        <v>243.9</v>
      </c>
      <c r="H184">
        <v>572.99</v>
      </c>
      <c r="I184">
        <v>341.13</v>
      </c>
      <c r="J184">
        <v>1158.02</v>
      </c>
      <c r="K184">
        <v>5683.34</v>
      </c>
      <c r="L184">
        <v>848.93</v>
      </c>
      <c r="M184">
        <v>4289.45</v>
      </c>
      <c r="N184">
        <v>0</v>
      </c>
      <c r="P184">
        <v>5138.38</v>
      </c>
      <c r="Q184">
        <v>2.6</v>
      </c>
      <c r="R184">
        <v>233.68</v>
      </c>
      <c r="S184">
        <v>391.29</v>
      </c>
      <c r="T184">
        <v>1892.9</v>
      </c>
      <c r="W184">
        <v>0</v>
      </c>
      <c r="X184">
        <v>2520.4699999999998</v>
      </c>
      <c r="Y184">
        <v>382.99</v>
      </c>
      <c r="Z184">
        <v>0</v>
      </c>
      <c r="AA184">
        <v>2603.39</v>
      </c>
      <c r="AC184">
        <v>1027.22</v>
      </c>
      <c r="AD184">
        <v>0</v>
      </c>
      <c r="AE184">
        <v>17355.79</v>
      </c>
      <c r="AF184">
        <v>20372</v>
      </c>
      <c r="AG184" t="s">
        <v>45</v>
      </c>
      <c r="AH184" t="s">
        <v>46</v>
      </c>
      <c r="AI184" t="s">
        <v>45</v>
      </c>
      <c r="AJ184" t="s">
        <v>46</v>
      </c>
      <c r="AK184">
        <v>6774</v>
      </c>
      <c r="AL184" t="s">
        <v>44</v>
      </c>
      <c r="AM184">
        <v>1</v>
      </c>
      <c r="AN184">
        <v>1</v>
      </c>
      <c r="AO184">
        <v>2025</v>
      </c>
      <c r="AP184">
        <v>1</v>
      </c>
    </row>
    <row r="185" spans="1:42" x14ac:dyDescent="0.25">
      <c r="A185">
        <v>575.66999999999996</v>
      </c>
      <c r="B185">
        <v>5573.15</v>
      </c>
      <c r="C185">
        <v>1965.89</v>
      </c>
      <c r="D185">
        <v>1804.43</v>
      </c>
      <c r="E185">
        <v>513.46</v>
      </c>
      <c r="F185">
        <v>10432.59</v>
      </c>
      <c r="G185">
        <v>502.1</v>
      </c>
      <c r="H185">
        <v>1647.63</v>
      </c>
      <c r="I185">
        <v>538.11</v>
      </c>
      <c r="J185">
        <v>2687.83</v>
      </c>
      <c r="K185">
        <v>13120.42</v>
      </c>
      <c r="L185">
        <v>4168.78</v>
      </c>
      <c r="M185">
        <v>1233.0999999999999</v>
      </c>
      <c r="N185">
        <v>0</v>
      </c>
      <c r="O185">
        <v>334.72</v>
      </c>
      <c r="P185">
        <v>5736.6</v>
      </c>
      <c r="Q185">
        <v>75.8</v>
      </c>
      <c r="R185">
        <v>71.23</v>
      </c>
      <c r="S185">
        <v>210.86</v>
      </c>
      <c r="T185">
        <v>3827.3</v>
      </c>
      <c r="U185">
        <v>0</v>
      </c>
      <c r="V185">
        <v>0</v>
      </c>
      <c r="W185">
        <v>6800.95</v>
      </c>
      <c r="X185">
        <v>10986.14</v>
      </c>
      <c r="Y185">
        <v>277.23</v>
      </c>
      <c r="Z185">
        <v>1257.06</v>
      </c>
      <c r="AA185">
        <v>4434.28</v>
      </c>
      <c r="AB185">
        <v>20</v>
      </c>
      <c r="AC185">
        <v>200.97</v>
      </c>
      <c r="AD185">
        <v>0</v>
      </c>
      <c r="AE185">
        <v>36032.69</v>
      </c>
      <c r="AF185">
        <v>20108</v>
      </c>
      <c r="AG185" t="s">
        <v>118</v>
      </c>
      <c r="AH185" t="s">
        <v>119</v>
      </c>
      <c r="AI185" t="s">
        <v>118</v>
      </c>
      <c r="AJ185" t="s">
        <v>119</v>
      </c>
      <c r="AK185">
        <v>6721</v>
      </c>
      <c r="AL185" t="s">
        <v>44</v>
      </c>
      <c r="AM185">
        <v>2</v>
      </c>
      <c r="AN185">
        <v>2</v>
      </c>
      <c r="AO185">
        <v>2025</v>
      </c>
      <c r="AP185">
        <v>4</v>
      </c>
    </row>
    <row r="186" spans="1:42" x14ac:dyDescent="0.25">
      <c r="A186">
        <v>579.35</v>
      </c>
      <c r="B186">
        <v>5289.27</v>
      </c>
      <c r="C186">
        <v>2144.6799999999998</v>
      </c>
      <c r="D186">
        <v>503.27</v>
      </c>
      <c r="E186">
        <v>685.38</v>
      </c>
      <c r="F186">
        <v>9201.94</v>
      </c>
      <c r="G186">
        <v>3282.24</v>
      </c>
      <c r="H186">
        <v>788.66</v>
      </c>
      <c r="I186">
        <v>487.04</v>
      </c>
      <c r="J186">
        <v>4557.93</v>
      </c>
      <c r="K186">
        <v>13759.88</v>
      </c>
      <c r="L186">
        <v>18337.25</v>
      </c>
      <c r="M186">
        <v>708.58</v>
      </c>
      <c r="N186">
        <v>0</v>
      </c>
      <c r="O186">
        <v>353.81</v>
      </c>
      <c r="P186">
        <v>19399.64</v>
      </c>
      <c r="Q186">
        <v>19.46</v>
      </c>
      <c r="R186">
        <v>1475.95</v>
      </c>
      <c r="S186">
        <v>1222.67</v>
      </c>
      <c r="T186">
        <v>285.45</v>
      </c>
      <c r="U186">
        <v>0</v>
      </c>
      <c r="V186">
        <v>1180.31</v>
      </c>
      <c r="W186">
        <v>2437.15</v>
      </c>
      <c r="X186">
        <v>6620.98</v>
      </c>
      <c r="Y186">
        <v>512.65</v>
      </c>
      <c r="Z186">
        <v>2174.06</v>
      </c>
      <c r="AA186">
        <v>-3181.45</v>
      </c>
      <c r="AB186">
        <v>11.96</v>
      </c>
      <c r="AC186">
        <v>231.5</v>
      </c>
      <c r="AD186">
        <v>0</v>
      </c>
      <c r="AE186">
        <v>39529.230000000003</v>
      </c>
      <c r="AF186">
        <v>21629</v>
      </c>
      <c r="AG186" t="s">
        <v>120</v>
      </c>
      <c r="AH186" t="s">
        <v>121</v>
      </c>
      <c r="AI186" t="s">
        <v>120</v>
      </c>
      <c r="AJ186" t="s">
        <v>121</v>
      </c>
      <c r="AK186">
        <v>11042</v>
      </c>
      <c r="AL186" t="s">
        <v>47</v>
      </c>
      <c r="AM186">
        <v>2</v>
      </c>
      <c r="AN186">
        <v>2</v>
      </c>
      <c r="AO186">
        <v>2025</v>
      </c>
      <c r="AP186">
        <v>4</v>
      </c>
    </row>
    <row r="187" spans="1:42" x14ac:dyDescent="0.25">
      <c r="A187">
        <v>586.29</v>
      </c>
      <c r="B187">
        <v>34872.160000000003</v>
      </c>
      <c r="C187">
        <v>8133.92</v>
      </c>
      <c r="D187">
        <v>61875.82</v>
      </c>
      <c r="E187">
        <v>15815.74</v>
      </c>
      <c r="F187">
        <v>121283.93</v>
      </c>
      <c r="G187">
        <v>9299.74</v>
      </c>
      <c r="H187">
        <v>24922.29</v>
      </c>
      <c r="I187">
        <v>8441.19</v>
      </c>
      <c r="J187">
        <v>42663.22</v>
      </c>
      <c r="K187">
        <v>163947.15</v>
      </c>
      <c r="L187">
        <v>184.93</v>
      </c>
      <c r="M187">
        <v>5075.2</v>
      </c>
      <c r="N187">
        <v>32.630000000000003</v>
      </c>
      <c r="O187">
        <v>2703.31</v>
      </c>
      <c r="P187">
        <v>7996.07</v>
      </c>
      <c r="Q187">
        <v>0</v>
      </c>
      <c r="R187">
        <v>73.03</v>
      </c>
      <c r="S187">
        <v>287.64</v>
      </c>
      <c r="T187">
        <v>18406.419999999998</v>
      </c>
      <c r="U187">
        <v>0</v>
      </c>
      <c r="V187">
        <v>0</v>
      </c>
      <c r="W187">
        <v>7689.01</v>
      </c>
      <c r="X187">
        <v>26456.1</v>
      </c>
      <c r="Y187">
        <v>0</v>
      </c>
      <c r="Z187">
        <v>16068.42</v>
      </c>
      <c r="AA187">
        <v>3392.6</v>
      </c>
      <c r="AB187">
        <v>0</v>
      </c>
      <c r="AC187">
        <v>329.37</v>
      </c>
      <c r="AD187">
        <v>0</v>
      </c>
      <c r="AE187">
        <v>218189.71</v>
      </c>
      <c r="AF187">
        <v>20427</v>
      </c>
      <c r="AG187" t="s">
        <v>116</v>
      </c>
      <c r="AH187" t="s">
        <v>117</v>
      </c>
      <c r="AI187" t="s">
        <v>116</v>
      </c>
      <c r="AJ187" t="s">
        <v>117</v>
      </c>
      <c r="AK187">
        <v>6918</v>
      </c>
      <c r="AL187" t="s">
        <v>44</v>
      </c>
      <c r="AM187">
        <v>2</v>
      </c>
      <c r="AN187">
        <v>2</v>
      </c>
      <c r="AO187">
        <v>2025</v>
      </c>
      <c r="AP187">
        <v>4</v>
      </c>
    </row>
    <row r="188" spans="1:42" x14ac:dyDescent="0.25">
      <c r="A188">
        <v>587.16999999999996</v>
      </c>
      <c r="B188">
        <v>7551.95</v>
      </c>
      <c r="C188">
        <v>2208.4899999999998</v>
      </c>
      <c r="D188">
        <v>2678.09</v>
      </c>
      <c r="E188">
        <v>3056.25</v>
      </c>
      <c r="F188">
        <v>16081.95</v>
      </c>
      <c r="G188">
        <v>2002.65</v>
      </c>
      <c r="H188">
        <v>1722.52</v>
      </c>
      <c r="I188">
        <v>1177.4000000000001</v>
      </c>
      <c r="J188">
        <v>4902.5600000000004</v>
      </c>
      <c r="K188">
        <v>20984.51</v>
      </c>
      <c r="L188">
        <v>15341.79</v>
      </c>
      <c r="M188">
        <v>2227.11</v>
      </c>
      <c r="N188">
        <v>0</v>
      </c>
      <c r="O188">
        <v>409.7</v>
      </c>
      <c r="P188">
        <v>17978.599999999999</v>
      </c>
      <c r="Q188">
        <v>54.14</v>
      </c>
      <c r="R188">
        <v>911.46</v>
      </c>
      <c r="S188">
        <v>599.91999999999996</v>
      </c>
      <c r="T188">
        <v>10237.17</v>
      </c>
      <c r="U188">
        <v>0</v>
      </c>
      <c r="V188">
        <v>1048.1199999999999</v>
      </c>
      <c r="W188">
        <v>8576.73</v>
      </c>
      <c r="X188">
        <v>21427.53</v>
      </c>
      <c r="Y188">
        <v>1219.93</v>
      </c>
      <c r="Z188">
        <v>9352.75</v>
      </c>
      <c r="AA188">
        <v>1416.38</v>
      </c>
      <c r="AB188">
        <v>1195.21</v>
      </c>
      <c r="AC188">
        <v>1544.25</v>
      </c>
      <c r="AD188">
        <v>3695.2</v>
      </c>
      <c r="AE188">
        <v>78814.36</v>
      </c>
      <c r="AF188">
        <v>20151</v>
      </c>
      <c r="AG188" t="s">
        <v>97</v>
      </c>
      <c r="AH188" t="s">
        <v>98</v>
      </c>
      <c r="AI188" t="s">
        <v>97</v>
      </c>
      <c r="AJ188" t="s">
        <v>98</v>
      </c>
      <c r="AK188">
        <v>16052</v>
      </c>
      <c r="AL188" t="s">
        <v>50</v>
      </c>
      <c r="AM188">
        <v>2</v>
      </c>
      <c r="AN188">
        <v>2</v>
      </c>
      <c r="AO188">
        <v>2025</v>
      </c>
      <c r="AP188">
        <v>2</v>
      </c>
    </row>
    <row r="189" spans="1:42" x14ac:dyDescent="0.25">
      <c r="A189">
        <v>588.51</v>
      </c>
      <c r="B189">
        <v>10800.5</v>
      </c>
      <c r="C189">
        <v>2388.39</v>
      </c>
      <c r="D189">
        <v>3300.31</v>
      </c>
      <c r="E189">
        <v>3190.56</v>
      </c>
      <c r="F189">
        <v>20268.27</v>
      </c>
      <c r="G189">
        <v>2130.33</v>
      </c>
      <c r="H189">
        <v>1941.71</v>
      </c>
      <c r="I189">
        <v>1083.5999999999999</v>
      </c>
      <c r="J189">
        <v>5155.6400000000003</v>
      </c>
      <c r="K189">
        <v>25423.91</v>
      </c>
      <c r="L189">
        <v>19719.39</v>
      </c>
      <c r="M189">
        <v>3329.89</v>
      </c>
      <c r="N189">
        <v>0</v>
      </c>
      <c r="O189">
        <v>443.94</v>
      </c>
      <c r="P189">
        <v>23493.21</v>
      </c>
      <c r="Q189">
        <v>35.33</v>
      </c>
      <c r="R189">
        <v>1308.3399999999999</v>
      </c>
      <c r="S189">
        <v>658.86</v>
      </c>
      <c r="T189">
        <v>11375.52</v>
      </c>
      <c r="U189">
        <v>0</v>
      </c>
      <c r="V189">
        <v>749.47</v>
      </c>
      <c r="W189">
        <v>9085.2199999999993</v>
      </c>
      <c r="X189">
        <v>23212.73</v>
      </c>
      <c r="Y189">
        <v>1891.6</v>
      </c>
      <c r="Z189">
        <v>10435.549999999999</v>
      </c>
      <c r="AA189">
        <v>1551.2</v>
      </c>
      <c r="AB189">
        <v>1286.5899999999999</v>
      </c>
      <c r="AC189">
        <v>1642.72</v>
      </c>
      <c r="AD189">
        <v>4887.87</v>
      </c>
      <c r="AE189">
        <v>93825.37</v>
      </c>
      <c r="AF189">
        <v>20151</v>
      </c>
      <c r="AG189" t="s">
        <v>97</v>
      </c>
      <c r="AH189" t="s">
        <v>98</v>
      </c>
      <c r="AI189" t="s">
        <v>97</v>
      </c>
      <c r="AJ189" t="s">
        <v>98</v>
      </c>
      <c r="AK189">
        <v>16052</v>
      </c>
      <c r="AL189" t="s">
        <v>50</v>
      </c>
      <c r="AM189">
        <v>2</v>
      </c>
      <c r="AN189">
        <v>2</v>
      </c>
      <c r="AO189">
        <v>2025</v>
      </c>
      <c r="AP189">
        <v>4</v>
      </c>
    </row>
    <row r="190" spans="1:42" x14ac:dyDescent="0.25">
      <c r="A190">
        <v>599.32000000000005</v>
      </c>
      <c r="B190">
        <v>120466.39</v>
      </c>
      <c r="C190">
        <v>32567.3</v>
      </c>
      <c r="D190">
        <v>6397.41</v>
      </c>
      <c r="E190">
        <v>120446.15</v>
      </c>
      <c r="F190">
        <v>280476.57</v>
      </c>
      <c r="G190">
        <v>42305.02</v>
      </c>
      <c r="H190">
        <v>28659.91</v>
      </c>
      <c r="I190">
        <v>23122.77</v>
      </c>
      <c r="J190">
        <v>94087.69</v>
      </c>
      <c r="K190">
        <v>374564.26</v>
      </c>
      <c r="L190">
        <v>0</v>
      </c>
      <c r="M190">
        <v>14778.72</v>
      </c>
      <c r="N190">
        <v>0</v>
      </c>
      <c r="O190">
        <v>18632.099999999999</v>
      </c>
      <c r="P190">
        <v>33410.82</v>
      </c>
      <c r="Q190">
        <v>0</v>
      </c>
      <c r="R190">
        <v>182.04</v>
      </c>
      <c r="S190">
        <v>3217.76</v>
      </c>
      <c r="T190">
        <v>161070.91</v>
      </c>
      <c r="U190">
        <v>0</v>
      </c>
      <c r="V190">
        <v>0</v>
      </c>
      <c r="W190">
        <v>17544.599999999999</v>
      </c>
      <c r="X190">
        <v>182015.32</v>
      </c>
      <c r="Y190">
        <v>0</v>
      </c>
      <c r="Z190">
        <v>62868.41</v>
      </c>
      <c r="AA190">
        <v>10886.79</v>
      </c>
      <c r="AB190">
        <v>0</v>
      </c>
      <c r="AC190">
        <v>5173.93</v>
      </c>
      <c r="AD190">
        <v>0</v>
      </c>
      <c r="AE190">
        <v>668919.53</v>
      </c>
      <c r="AF190">
        <v>20397</v>
      </c>
      <c r="AG190" t="s">
        <v>65</v>
      </c>
      <c r="AH190" t="s">
        <v>66</v>
      </c>
      <c r="AI190" t="s">
        <v>65</v>
      </c>
      <c r="AJ190" t="s">
        <v>66</v>
      </c>
      <c r="AK190">
        <v>7028</v>
      </c>
      <c r="AL190" t="s">
        <v>44</v>
      </c>
      <c r="AM190">
        <v>2</v>
      </c>
      <c r="AN190">
        <v>2</v>
      </c>
      <c r="AO190">
        <v>2025</v>
      </c>
      <c r="AP190">
        <v>3</v>
      </c>
    </row>
    <row r="191" spans="1:42" x14ac:dyDescent="0.25">
      <c r="A191">
        <v>603.13</v>
      </c>
      <c r="B191">
        <v>6682.01</v>
      </c>
      <c r="C191">
        <v>2419.77</v>
      </c>
      <c r="D191">
        <v>516.16</v>
      </c>
      <c r="E191">
        <v>635.84</v>
      </c>
      <c r="F191">
        <v>10856.9</v>
      </c>
      <c r="G191">
        <v>4125.7700000000004</v>
      </c>
      <c r="H191">
        <v>735.87</v>
      </c>
      <c r="I191">
        <v>596.47</v>
      </c>
      <c r="J191">
        <v>5458.11</v>
      </c>
      <c r="K191">
        <v>16315.01</v>
      </c>
      <c r="L191">
        <v>15093.55</v>
      </c>
      <c r="M191">
        <v>631.33000000000004</v>
      </c>
      <c r="N191">
        <v>0</v>
      </c>
      <c r="O191">
        <v>260.32</v>
      </c>
      <c r="P191">
        <v>15985.2</v>
      </c>
      <c r="Q191">
        <v>19.91</v>
      </c>
      <c r="R191">
        <v>1463.24</v>
      </c>
      <c r="S191">
        <v>1146.3599999999999</v>
      </c>
      <c r="T191">
        <v>278.42</v>
      </c>
      <c r="U191">
        <v>0</v>
      </c>
      <c r="V191">
        <v>1036.06</v>
      </c>
      <c r="W191">
        <v>3281.72</v>
      </c>
      <c r="X191">
        <v>7225.71</v>
      </c>
      <c r="Y191">
        <v>897.15</v>
      </c>
      <c r="Z191">
        <v>2197.87</v>
      </c>
      <c r="AA191">
        <v>8616.1200000000008</v>
      </c>
      <c r="AB191">
        <v>13.07</v>
      </c>
      <c r="AC191">
        <v>111.76</v>
      </c>
      <c r="AD191">
        <v>0</v>
      </c>
      <c r="AE191">
        <v>51361.89</v>
      </c>
      <c r="AF191">
        <v>21629</v>
      </c>
      <c r="AG191" t="s">
        <v>120</v>
      </c>
      <c r="AH191" t="s">
        <v>121</v>
      </c>
      <c r="AI191" t="s">
        <v>120</v>
      </c>
      <c r="AJ191" t="s">
        <v>121</v>
      </c>
      <c r="AK191">
        <v>11042</v>
      </c>
      <c r="AL191" t="s">
        <v>47</v>
      </c>
      <c r="AM191">
        <v>2</v>
      </c>
      <c r="AN191">
        <v>2</v>
      </c>
      <c r="AO191">
        <v>2025</v>
      </c>
      <c r="AP191">
        <v>3</v>
      </c>
    </row>
    <row r="192" spans="1:42" x14ac:dyDescent="0.25">
      <c r="A192">
        <v>611.67999999999995</v>
      </c>
      <c r="B192">
        <v>3383.21</v>
      </c>
      <c r="C192">
        <v>1321.73</v>
      </c>
      <c r="D192">
        <v>936.24</v>
      </c>
      <c r="E192">
        <v>1483.1</v>
      </c>
      <c r="F192">
        <v>7735.97</v>
      </c>
      <c r="G192">
        <v>1044.5899999999999</v>
      </c>
      <c r="H192">
        <v>3793.88</v>
      </c>
      <c r="I192">
        <v>561.63</v>
      </c>
      <c r="J192">
        <v>5400.1</v>
      </c>
      <c r="K192">
        <v>13136.07</v>
      </c>
      <c r="L192">
        <v>2969.79</v>
      </c>
      <c r="M192">
        <v>528.24</v>
      </c>
      <c r="N192">
        <v>0</v>
      </c>
      <c r="O192">
        <v>274.85000000000002</v>
      </c>
      <c r="P192">
        <v>3772.88</v>
      </c>
      <c r="Q192">
        <v>56.33</v>
      </c>
      <c r="R192">
        <v>44.79</v>
      </c>
      <c r="S192">
        <v>373.09</v>
      </c>
      <c r="T192">
        <v>2225.9699999999998</v>
      </c>
      <c r="U192">
        <v>0</v>
      </c>
      <c r="V192">
        <v>0</v>
      </c>
      <c r="W192">
        <v>3944.48</v>
      </c>
      <c r="X192">
        <v>6644.65</v>
      </c>
      <c r="Y192">
        <v>114.36</v>
      </c>
      <c r="Z192">
        <v>452.22</v>
      </c>
      <c r="AA192">
        <v>2690.44</v>
      </c>
      <c r="AB192">
        <v>0</v>
      </c>
      <c r="AC192">
        <v>526.69000000000005</v>
      </c>
      <c r="AD192">
        <v>0.18</v>
      </c>
      <c r="AE192">
        <v>27337.47</v>
      </c>
      <c r="AF192">
        <v>20169</v>
      </c>
      <c r="AG192" t="s">
        <v>56</v>
      </c>
      <c r="AH192" t="s">
        <v>57</v>
      </c>
      <c r="AI192" t="s">
        <v>56</v>
      </c>
      <c r="AJ192" t="s">
        <v>57</v>
      </c>
      <c r="AK192">
        <v>6699</v>
      </c>
      <c r="AL192" t="s">
        <v>44</v>
      </c>
      <c r="AM192">
        <v>2</v>
      </c>
      <c r="AN192">
        <v>2</v>
      </c>
      <c r="AO192">
        <v>2025</v>
      </c>
      <c r="AP192">
        <v>4</v>
      </c>
    </row>
    <row r="193" spans="1:42" x14ac:dyDescent="0.25">
      <c r="A193">
        <v>619.27</v>
      </c>
      <c r="B193">
        <v>0</v>
      </c>
      <c r="C193">
        <v>38.76</v>
      </c>
      <c r="D193">
        <v>41.07</v>
      </c>
      <c r="E193">
        <v>3607.56</v>
      </c>
      <c r="F193">
        <v>4306.6499999999996</v>
      </c>
      <c r="G193">
        <v>232.33</v>
      </c>
      <c r="H193">
        <v>606.39</v>
      </c>
      <c r="I193">
        <v>121.08</v>
      </c>
      <c r="J193">
        <v>959.79</v>
      </c>
      <c r="K193">
        <v>5266.44</v>
      </c>
      <c r="L193">
        <v>3347.35</v>
      </c>
      <c r="M193">
        <v>22.64</v>
      </c>
      <c r="N193">
        <v>0</v>
      </c>
      <c r="O193">
        <v>160.88999999999999</v>
      </c>
      <c r="P193">
        <v>3530.88</v>
      </c>
      <c r="Q193">
        <v>1825.34</v>
      </c>
      <c r="R193">
        <v>105.67</v>
      </c>
      <c r="S193">
        <v>82.09</v>
      </c>
      <c r="T193">
        <v>3442.97</v>
      </c>
      <c r="U193">
        <v>0</v>
      </c>
      <c r="V193">
        <v>98.88</v>
      </c>
      <c r="W193">
        <v>2177.59</v>
      </c>
      <c r="X193">
        <v>7732.54</v>
      </c>
      <c r="Y193">
        <v>99.68</v>
      </c>
      <c r="Z193">
        <v>55381.91</v>
      </c>
      <c r="AA193">
        <v>585.30999999999995</v>
      </c>
      <c r="AB193">
        <v>0</v>
      </c>
      <c r="AC193">
        <v>38.15</v>
      </c>
      <c r="AD193">
        <v>2052.87</v>
      </c>
      <c r="AF193">
        <v>20100</v>
      </c>
      <c r="AG193" t="s">
        <v>51</v>
      </c>
      <c r="AH193" t="s">
        <v>52</v>
      </c>
      <c r="AI193" t="s">
        <v>51</v>
      </c>
      <c r="AJ193" t="s">
        <v>52</v>
      </c>
      <c r="AK193">
        <v>16758</v>
      </c>
      <c r="AL193" t="s">
        <v>64</v>
      </c>
      <c r="AM193">
        <v>3</v>
      </c>
      <c r="AN193">
        <v>3</v>
      </c>
      <c r="AO193">
        <v>2025</v>
      </c>
      <c r="AP193">
        <v>2</v>
      </c>
    </row>
    <row r="194" spans="1:42" x14ac:dyDescent="0.25">
      <c r="A194">
        <v>630.9</v>
      </c>
      <c r="B194">
        <v>6609.15</v>
      </c>
      <c r="C194">
        <v>2414.0500000000002</v>
      </c>
      <c r="D194">
        <v>476.78</v>
      </c>
      <c r="E194">
        <v>596.64</v>
      </c>
      <c r="F194">
        <v>10727.52</v>
      </c>
      <c r="G194">
        <v>3726.61</v>
      </c>
      <c r="H194">
        <v>770.85</v>
      </c>
      <c r="I194">
        <v>646.80999999999995</v>
      </c>
      <c r="J194">
        <v>5144.2700000000004</v>
      </c>
      <c r="K194">
        <v>15871.79</v>
      </c>
      <c r="L194">
        <v>15329.56</v>
      </c>
      <c r="M194">
        <v>993.35</v>
      </c>
      <c r="N194">
        <v>0</v>
      </c>
      <c r="O194">
        <v>338.59</v>
      </c>
      <c r="P194">
        <v>16661.490000000002</v>
      </c>
      <c r="Q194">
        <v>21.62</v>
      </c>
      <c r="R194">
        <v>1408.89</v>
      </c>
      <c r="S194">
        <v>1171.67</v>
      </c>
      <c r="T194">
        <v>424.58</v>
      </c>
      <c r="U194">
        <v>0</v>
      </c>
      <c r="V194">
        <v>1152.54</v>
      </c>
      <c r="W194">
        <v>3199.48</v>
      </c>
      <c r="X194">
        <v>7378.78</v>
      </c>
      <c r="Y194">
        <v>951.01</v>
      </c>
      <c r="Z194">
        <v>2345.2199999999998</v>
      </c>
      <c r="AA194">
        <v>8324.9500000000007</v>
      </c>
      <c r="AB194">
        <v>17.170000000000002</v>
      </c>
      <c r="AC194">
        <v>59.08</v>
      </c>
      <c r="AD194">
        <v>0</v>
      </c>
      <c r="AE194">
        <v>51609.48</v>
      </c>
      <c r="AF194">
        <v>21629</v>
      </c>
      <c r="AG194" t="s">
        <v>120</v>
      </c>
      <c r="AH194" t="s">
        <v>121</v>
      </c>
      <c r="AI194" t="s">
        <v>120</v>
      </c>
      <c r="AJ194" t="s">
        <v>121</v>
      </c>
      <c r="AK194">
        <v>11042</v>
      </c>
      <c r="AL194" t="s">
        <v>47</v>
      </c>
      <c r="AM194">
        <v>2</v>
      </c>
      <c r="AN194">
        <v>2</v>
      </c>
      <c r="AO194">
        <v>2025</v>
      </c>
      <c r="AP194">
        <v>2</v>
      </c>
    </row>
    <row r="195" spans="1:42" x14ac:dyDescent="0.25">
      <c r="A195">
        <v>652</v>
      </c>
      <c r="B195">
        <v>32119</v>
      </c>
      <c r="C195">
        <v>3330</v>
      </c>
      <c r="D195">
        <v>7015</v>
      </c>
      <c r="E195">
        <v>12220</v>
      </c>
      <c r="F195">
        <v>55336</v>
      </c>
      <c r="G195">
        <v>5286</v>
      </c>
      <c r="H195">
        <v>13814</v>
      </c>
      <c r="I195">
        <v>3406</v>
      </c>
      <c r="J195">
        <v>22506</v>
      </c>
      <c r="K195">
        <v>77841</v>
      </c>
      <c r="L195">
        <v>38373</v>
      </c>
      <c r="M195">
        <v>1205</v>
      </c>
      <c r="N195">
        <v>5332</v>
      </c>
      <c r="O195">
        <v>4607</v>
      </c>
      <c r="P195">
        <v>49516</v>
      </c>
      <c r="Q195">
        <v>1412</v>
      </c>
      <c r="R195">
        <v>739</v>
      </c>
      <c r="S195">
        <v>356</v>
      </c>
      <c r="T195">
        <v>8689</v>
      </c>
      <c r="U195">
        <v>445</v>
      </c>
      <c r="V195">
        <v>0</v>
      </c>
      <c r="W195">
        <v>19120</v>
      </c>
      <c r="X195">
        <v>30760</v>
      </c>
      <c r="Y195">
        <v>3923</v>
      </c>
      <c r="Z195">
        <v>12241</v>
      </c>
      <c r="AA195">
        <v>10930</v>
      </c>
      <c r="AB195">
        <v>0</v>
      </c>
      <c r="AC195">
        <v>3097</v>
      </c>
      <c r="AD195">
        <v>0</v>
      </c>
      <c r="AE195">
        <v>188307</v>
      </c>
      <c r="AF195">
        <v>19930</v>
      </c>
      <c r="AG195" t="s">
        <v>107</v>
      </c>
      <c r="AH195" t="s">
        <v>108</v>
      </c>
      <c r="AI195" t="s">
        <v>107</v>
      </c>
      <c r="AJ195" t="s">
        <v>108</v>
      </c>
      <c r="AK195">
        <v>16031</v>
      </c>
      <c r="AL195" t="s">
        <v>50</v>
      </c>
      <c r="AM195">
        <v>3</v>
      </c>
      <c r="AN195">
        <v>3</v>
      </c>
      <c r="AO195">
        <v>2025</v>
      </c>
      <c r="AP195">
        <v>4</v>
      </c>
    </row>
    <row r="196" spans="1:42" x14ac:dyDescent="0.25">
      <c r="A196">
        <v>659.33</v>
      </c>
      <c r="B196">
        <v>6029.29</v>
      </c>
      <c r="C196">
        <v>1167.42</v>
      </c>
      <c r="D196">
        <v>351.28</v>
      </c>
      <c r="E196">
        <v>1189.8900000000001</v>
      </c>
      <c r="F196">
        <v>9397.2099999999991</v>
      </c>
      <c r="G196">
        <v>1410.47</v>
      </c>
      <c r="H196">
        <v>1589.94</v>
      </c>
      <c r="I196">
        <v>1128.9100000000001</v>
      </c>
      <c r="J196">
        <v>4129.3100000000004</v>
      </c>
      <c r="K196">
        <v>13526.52</v>
      </c>
      <c r="L196">
        <v>13186.7</v>
      </c>
      <c r="M196">
        <v>197.92</v>
      </c>
      <c r="N196">
        <v>0.9</v>
      </c>
      <c r="O196">
        <v>639.36</v>
      </c>
      <c r="P196">
        <v>14024.89</v>
      </c>
      <c r="Q196">
        <v>111.08</v>
      </c>
      <c r="R196">
        <v>904.49</v>
      </c>
      <c r="S196">
        <v>79.17</v>
      </c>
      <c r="T196">
        <v>943.15</v>
      </c>
      <c r="U196">
        <v>83.69</v>
      </c>
      <c r="V196">
        <v>0</v>
      </c>
      <c r="W196">
        <v>8262.92</v>
      </c>
      <c r="X196">
        <v>10384.5</v>
      </c>
      <c r="Y196">
        <v>1924.37</v>
      </c>
      <c r="Z196">
        <v>11785.92</v>
      </c>
      <c r="AA196">
        <v>679.16</v>
      </c>
      <c r="AB196">
        <v>2.98</v>
      </c>
      <c r="AC196">
        <v>-1951.69</v>
      </c>
      <c r="AD196">
        <v>0</v>
      </c>
      <c r="AE196">
        <v>50376.65</v>
      </c>
      <c r="AF196">
        <v>20436</v>
      </c>
      <c r="AG196" t="s">
        <v>122</v>
      </c>
      <c r="AH196" t="s">
        <v>123</v>
      </c>
      <c r="AI196" t="s">
        <v>122</v>
      </c>
      <c r="AJ196" t="s">
        <v>123</v>
      </c>
      <c r="AK196">
        <v>16461</v>
      </c>
      <c r="AL196" t="s">
        <v>50</v>
      </c>
      <c r="AM196">
        <v>3</v>
      </c>
      <c r="AN196">
        <v>3</v>
      </c>
      <c r="AO196">
        <v>2025</v>
      </c>
      <c r="AP196">
        <v>1</v>
      </c>
    </row>
    <row r="197" spans="1:42" x14ac:dyDescent="0.25">
      <c r="A197">
        <v>671.7</v>
      </c>
      <c r="B197">
        <v>4680.58</v>
      </c>
      <c r="C197">
        <v>1185.8599999999999</v>
      </c>
      <c r="D197">
        <v>307.77</v>
      </c>
      <c r="E197">
        <v>1108.5999999999999</v>
      </c>
      <c r="F197">
        <v>7954.5</v>
      </c>
      <c r="G197">
        <v>1155.47</v>
      </c>
      <c r="H197">
        <v>1904.14</v>
      </c>
      <c r="I197">
        <v>586.14</v>
      </c>
      <c r="J197">
        <v>3645.74</v>
      </c>
      <c r="K197">
        <v>11600.24</v>
      </c>
      <c r="L197">
        <v>9426.35</v>
      </c>
      <c r="M197">
        <v>321.04000000000002</v>
      </c>
      <c r="N197">
        <v>2.2400000000000002</v>
      </c>
      <c r="O197">
        <v>245.24</v>
      </c>
      <c r="P197">
        <v>9994.86</v>
      </c>
      <c r="Q197">
        <v>139.01</v>
      </c>
      <c r="R197">
        <v>601.53</v>
      </c>
      <c r="S197">
        <v>35.200000000000003</v>
      </c>
      <c r="T197">
        <v>722.91</v>
      </c>
      <c r="U197">
        <v>51.58</v>
      </c>
      <c r="V197">
        <v>0</v>
      </c>
      <c r="W197">
        <v>7402.55</v>
      </c>
      <c r="X197">
        <v>8952.7900000000009</v>
      </c>
      <c r="Y197">
        <v>1366.34</v>
      </c>
      <c r="Z197">
        <v>10981.36</v>
      </c>
      <c r="AA197">
        <v>415.68</v>
      </c>
      <c r="AB197">
        <v>1.21</v>
      </c>
      <c r="AC197">
        <v>-7180.7</v>
      </c>
      <c r="AD197">
        <v>0</v>
      </c>
      <c r="AE197">
        <v>36131.78</v>
      </c>
      <c r="AF197">
        <v>20436</v>
      </c>
      <c r="AG197" t="s">
        <v>122</v>
      </c>
      <c r="AH197" t="s">
        <v>123</v>
      </c>
      <c r="AI197" t="s">
        <v>122</v>
      </c>
      <c r="AJ197" t="s">
        <v>123</v>
      </c>
      <c r="AK197">
        <v>16461</v>
      </c>
      <c r="AL197" t="s">
        <v>50</v>
      </c>
      <c r="AM197">
        <v>3</v>
      </c>
      <c r="AN197">
        <v>3</v>
      </c>
      <c r="AO197">
        <v>2025</v>
      </c>
      <c r="AP197">
        <v>4</v>
      </c>
    </row>
    <row r="198" spans="1:42" x14ac:dyDescent="0.25">
      <c r="A198">
        <v>678.85</v>
      </c>
      <c r="B198">
        <v>2107.27</v>
      </c>
      <c r="C198">
        <v>1838.7</v>
      </c>
      <c r="D198">
        <v>351.11</v>
      </c>
      <c r="F198">
        <v>4975.92</v>
      </c>
      <c r="G198">
        <v>1174.42</v>
      </c>
      <c r="H198">
        <v>787.13</v>
      </c>
      <c r="I198">
        <v>286.64999999999998</v>
      </c>
      <c r="J198">
        <v>2248.19</v>
      </c>
      <c r="K198">
        <v>7224.12</v>
      </c>
      <c r="L198">
        <v>0</v>
      </c>
      <c r="M198">
        <v>542.35</v>
      </c>
      <c r="O198">
        <v>7.03</v>
      </c>
      <c r="P198">
        <v>549.37</v>
      </c>
      <c r="Q198">
        <v>94.12</v>
      </c>
      <c r="R198">
        <v>70.83</v>
      </c>
      <c r="S198">
        <v>68.53</v>
      </c>
      <c r="T198">
        <v>2236.11</v>
      </c>
      <c r="V198">
        <v>327.51</v>
      </c>
      <c r="W198">
        <v>-254.04</v>
      </c>
      <c r="X198">
        <v>2543.0500000000002</v>
      </c>
      <c r="Y198">
        <v>0</v>
      </c>
      <c r="Z198">
        <v>1100.08</v>
      </c>
      <c r="AA198">
        <v>4969.41</v>
      </c>
      <c r="AD198">
        <v>2045</v>
      </c>
      <c r="AE198">
        <v>18431.03</v>
      </c>
      <c r="AF198">
        <v>20370</v>
      </c>
      <c r="AG198" t="s">
        <v>81</v>
      </c>
      <c r="AH198" t="s">
        <v>82</v>
      </c>
      <c r="AI198" t="s">
        <v>81</v>
      </c>
      <c r="AJ198" t="s">
        <v>82</v>
      </c>
      <c r="AK198">
        <v>6683</v>
      </c>
      <c r="AL198" t="s">
        <v>44</v>
      </c>
      <c r="AM198">
        <v>3</v>
      </c>
      <c r="AN198">
        <v>3</v>
      </c>
      <c r="AO198">
        <v>2025</v>
      </c>
      <c r="AP198">
        <v>4</v>
      </c>
    </row>
    <row r="199" spans="1:42" x14ac:dyDescent="0.25">
      <c r="A199">
        <v>685.36</v>
      </c>
      <c r="B199">
        <v>5989.22</v>
      </c>
      <c r="C199">
        <v>2392.4</v>
      </c>
      <c r="D199">
        <v>464.55</v>
      </c>
      <c r="E199">
        <v>628.33000000000004</v>
      </c>
      <c r="F199">
        <v>10159.86</v>
      </c>
      <c r="G199">
        <v>3415.67</v>
      </c>
      <c r="H199">
        <v>486.96</v>
      </c>
      <c r="I199">
        <v>632.16999999999996</v>
      </c>
      <c r="J199">
        <v>4534.8100000000004</v>
      </c>
      <c r="K199">
        <v>14694.67</v>
      </c>
      <c r="L199">
        <v>19677.099999999999</v>
      </c>
      <c r="M199">
        <v>989.18</v>
      </c>
      <c r="N199">
        <v>0</v>
      </c>
      <c r="O199">
        <v>277.02</v>
      </c>
      <c r="P199">
        <v>20943.29</v>
      </c>
      <c r="Q199">
        <v>19.78</v>
      </c>
      <c r="R199">
        <v>1113.03</v>
      </c>
      <c r="S199">
        <v>1154.02</v>
      </c>
      <c r="T199">
        <v>280.36</v>
      </c>
      <c r="U199">
        <v>0</v>
      </c>
      <c r="V199">
        <v>1243.0899999999999</v>
      </c>
      <c r="W199">
        <v>2236.9699999999998</v>
      </c>
      <c r="X199">
        <v>6047.25</v>
      </c>
      <c r="Y199">
        <v>789.06</v>
      </c>
      <c r="Z199">
        <v>2136.64</v>
      </c>
      <c r="AA199">
        <v>10368.58</v>
      </c>
      <c r="AB199">
        <v>22.14</v>
      </c>
      <c r="AC199">
        <v>205.99</v>
      </c>
      <c r="AD199">
        <v>0</v>
      </c>
      <c r="AE199">
        <v>55207.62</v>
      </c>
      <c r="AF199">
        <v>21629</v>
      </c>
      <c r="AG199" t="s">
        <v>120</v>
      </c>
      <c r="AH199" t="s">
        <v>121</v>
      </c>
      <c r="AI199" t="s">
        <v>120</v>
      </c>
      <c r="AJ199" t="s">
        <v>121</v>
      </c>
      <c r="AK199">
        <v>11042</v>
      </c>
      <c r="AL199" t="s">
        <v>47</v>
      </c>
      <c r="AM199">
        <v>2</v>
      </c>
      <c r="AN199">
        <v>2</v>
      </c>
      <c r="AO199">
        <v>2025</v>
      </c>
      <c r="AP199">
        <v>1</v>
      </c>
    </row>
    <row r="200" spans="1:42" x14ac:dyDescent="0.25">
      <c r="A200">
        <v>691.53</v>
      </c>
      <c r="B200">
        <v>2832.55</v>
      </c>
      <c r="C200">
        <v>898.02</v>
      </c>
      <c r="D200">
        <v>349.51</v>
      </c>
      <c r="E200">
        <v>500.69</v>
      </c>
      <c r="F200">
        <v>5272.3</v>
      </c>
      <c r="G200">
        <v>35.69</v>
      </c>
      <c r="H200">
        <v>613.53</v>
      </c>
      <c r="I200">
        <v>348.84</v>
      </c>
      <c r="J200">
        <v>998.06</v>
      </c>
      <c r="K200">
        <v>6270.36</v>
      </c>
      <c r="L200">
        <v>660.61</v>
      </c>
      <c r="M200">
        <v>4976.6499999999996</v>
      </c>
      <c r="N200">
        <v>0</v>
      </c>
      <c r="P200">
        <v>5637.26</v>
      </c>
      <c r="Q200">
        <v>7.3</v>
      </c>
      <c r="R200">
        <v>35</v>
      </c>
      <c r="S200">
        <v>191.06</v>
      </c>
      <c r="T200">
        <v>2301.73</v>
      </c>
      <c r="W200">
        <v>0</v>
      </c>
      <c r="X200">
        <v>2535.09</v>
      </c>
      <c r="Y200">
        <v>684.77</v>
      </c>
      <c r="Z200">
        <v>0</v>
      </c>
      <c r="AA200">
        <v>2139.0100000000002</v>
      </c>
      <c r="AC200">
        <v>2241.48</v>
      </c>
      <c r="AD200">
        <v>0</v>
      </c>
      <c r="AE200">
        <v>19507.97</v>
      </c>
      <c r="AF200">
        <v>20372</v>
      </c>
      <c r="AG200" t="s">
        <v>45</v>
      </c>
      <c r="AH200" t="s">
        <v>46</v>
      </c>
      <c r="AI200" t="s">
        <v>45</v>
      </c>
      <c r="AJ200" t="s">
        <v>46</v>
      </c>
      <c r="AK200">
        <v>6774</v>
      </c>
      <c r="AL200" t="s">
        <v>44</v>
      </c>
      <c r="AM200">
        <v>1</v>
      </c>
      <c r="AN200">
        <v>1</v>
      </c>
      <c r="AO200">
        <v>2025</v>
      </c>
      <c r="AP200">
        <v>4</v>
      </c>
    </row>
    <row r="201" spans="1:42" x14ac:dyDescent="0.25">
      <c r="A201">
        <v>693.11</v>
      </c>
      <c r="B201">
        <v>0</v>
      </c>
      <c r="C201">
        <v>80.930000000000007</v>
      </c>
      <c r="D201">
        <v>93.07</v>
      </c>
      <c r="E201">
        <v>3737.74</v>
      </c>
      <c r="F201">
        <v>4604.8500000000004</v>
      </c>
      <c r="G201">
        <v>228.18</v>
      </c>
      <c r="H201">
        <v>450.64</v>
      </c>
      <c r="I201">
        <v>285.20999999999998</v>
      </c>
      <c r="J201">
        <v>964.03</v>
      </c>
      <c r="K201">
        <v>5568.87</v>
      </c>
      <c r="L201">
        <v>22466.94</v>
      </c>
      <c r="M201">
        <v>34.380000000000003</v>
      </c>
      <c r="N201">
        <v>0</v>
      </c>
      <c r="O201">
        <v>464.77</v>
      </c>
      <c r="P201">
        <v>22966.080000000002</v>
      </c>
      <c r="Q201">
        <v>2672.35</v>
      </c>
      <c r="R201">
        <v>914.84</v>
      </c>
      <c r="S201">
        <v>0</v>
      </c>
      <c r="T201">
        <v>7941.08</v>
      </c>
      <c r="U201">
        <v>0</v>
      </c>
      <c r="V201">
        <v>181.52</v>
      </c>
      <c r="W201">
        <v>2228.73</v>
      </c>
      <c r="X201">
        <v>13938.52</v>
      </c>
      <c r="Y201">
        <v>1366.87</v>
      </c>
      <c r="Z201">
        <v>103572.93</v>
      </c>
      <c r="AA201">
        <v>232.15</v>
      </c>
      <c r="AB201">
        <v>0</v>
      </c>
      <c r="AC201">
        <v>176.5</v>
      </c>
      <c r="AD201">
        <v>4266.75</v>
      </c>
      <c r="AE201">
        <v>152088.67000000001</v>
      </c>
      <c r="AF201">
        <v>20100</v>
      </c>
      <c r="AG201" t="s">
        <v>51</v>
      </c>
      <c r="AH201" t="s">
        <v>52</v>
      </c>
      <c r="AI201" t="s">
        <v>51</v>
      </c>
      <c r="AJ201" t="s">
        <v>52</v>
      </c>
      <c r="AK201">
        <v>16758</v>
      </c>
      <c r="AL201" t="s">
        <v>64</v>
      </c>
      <c r="AM201">
        <v>3</v>
      </c>
      <c r="AN201">
        <v>3</v>
      </c>
      <c r="AO201">
        <v>2025</v>
      </c>
      <c r="AP201">
        <v>1</v>
      </c>
    </row>
    <row r="202" spans="1:42" x14ac:dyDescent="0.25">
      <c r="A202">
        <v>693.13</v>
      </c>
      <c r="B202">
        <v>8294.11</v>
      </c>
      <c r="C202">
        <v>2113.91</v>
      </c>
      <c r="D202">
        <v>2292.4699999999998</v>
      </c>
      <c r="E202">
        <v>2780.03</v>
      </c>
      <c r="F202">
        <v>16173.65</v>
      </c>
      <c r="G202">
        <v>1978.6</v>
      </c>
      <c r="H202">
        <v>1618.94</v>
      </c>
      <c r="I202">
        <v>1168.68</v>
      </c>
      <c r="J202">
        <v>4766.22</v>
      </c>
      <c r="K202">
        <v>20939.87</v>
      </c>
      <c r="L202">
        <v>14859.78</v>
      </c>
      <c r="M202">
        <v>2206.73</v>
      </c>
      <c r="N202">
        <v>0</v>
      </c>
      <c r="O202">
        <v>462.95</v>
      </c>
      <c r="P202">
        <v>17529.46</v>
      </c>
      <c r="Q202">
        <v>71.19</v>
      </c>
      <c r="R202">
        <v>1061.43</v>
      </c>
      <c r="S202">
        <v>546.24</v>
      </c>
      <c r="T202">
        <v>9339.68</v>
      </c>
      <c r="U202">
        <v>0</v>
      </c>
      <c r="V202">
        <v>899.59</v>
      </c>
      <c r="W202">
        <v>7020.48</v>
      </c>
      <c r="X202">
        <v>18938.62</v>
      </c>
      <c r="Y202">
        <v>1480.66</v>
      </c>
      <c r="Z202">
        <v>8781</v>
      </c>
      <c r="AA202">
        <v>1362.25</v>
      </c>
      <c r="AB202">
        <v>1134.98</v>
      </c>
      <c r="AC202">
        <v>1194.57</v>
      </c>
      <c r="AD202">
        <v>2650.66</v>
      </c>
      <c r="AE202">
        <v>74012.06</v>
      </c>
      <c r="AF202">
        <v>20151</v>
      </c>
      <c r="AG202" t="s">
        <v>97</v>
      </c>
      <c r="AH202" t="s">
        <v>98</v>
      </c>
      <c r="AI202" t="s">
        <v>97</v>
      </c>
      <c r="AJ202" t="s">
        <v>98</v>
      </c>
      <c r="AK202">
        <v>16052</v>
      </c>
      <c r="AL202" t="s">
        <v>50</v>
      </c>
      <c r="AM202">
        <v>2</v>
      </c>
      <c r="AN202">
        <v>2</v>
      </c>
      <c r="AO202">
        <v>2025</v>
      </c>
      <c r="AP202">
        <v>1</v>
      </c>
    </row>
    <row r="203" spans="1:42" x14ac:dyDescent="0.25">
      <c r="A203">
        <v>700</v>
      </c>
      <c r="B203">
        <v>39621</v>
      </c>
      <c r="C203">
        <v>4450</v>
      </c>
      <c r="D203">
        <v>8375</v>
      </c>
      <c r="E203">
        <v>16105</v>
      </c>
      <c r="F203">
        <v>69252</v>
      </c>
      <c r="G203">
        <v>6738</v>
      </c>
      <c r="H203">
        <v>17672</v>
      </c>
      <c r="I203">
        <v>4574</v>
      </c>
      <c r="J203">
        <v>28984</v>
      </c>
      <c r="K203">
        <v>98236</v>
      </c>
      <c r="L203">
        <v>50093</v>
      </c>
      <c r="M203">
        <v>2276</v>
      </c>
      <c r="N203">
        <v>6288</v>
      </c>
      <c r="O203">
        <v>6144</v>
      </c>
      <c r="P203">
        <v>64801</v>
      </c>
      <c r="Q203">
        <v>2397</v>
      </c>
      <c r="R203">
        <v>802</v>
      </c>
      <c r="S203">
        <v>448</v>
      </c>
      <c r="T203">
        <v>12616</v>
      </c>
      <c r="U203">
        <v>667</v>
      </c>
      <c r="V203">
        <v>0</v>
      </c>
      <c r="W203">
        <v>24522</v>
      </c>
      <c r="X203">
        <v>41452</v>
      </c>
      <c r="Y203">
        <v>4823</v>
      </c>
      <c r="Z203">
        <v>15898</v>
      </c>
      <c r="AA203">
        <v>14520</v>
      </c>
      <c r="AB203">
        <v>0</v>
      </c>
      <c r="AC203">
        <v>8539</v>
      </c>
      <c r="AD203">
        <v>0</v>
      </c>
      <c r="AE203">
        <v>248268</v>
      </c>
      <c r="AF203">
        <v>19930</v>
      </c>
      <c r="AG203" t="s">
        <v>107</v>
      </c>
      <c r="AH203" t="s">
        <v>108</v>
      </c>
      <c r="AI203" t="s">
        <v>107</v>
      </c>
      <c r="AJ203" t="s">
        <v>108</v>
      </c>
      <c r="AK203">
        <v>16031</v>
      </c>
      <c r="AL203" t="s">
        <v>50</v>
      </c>
      <c r="AM203">
        <v>3</v>
      </c>
      <c r="AN203">
        <v>3</v>
      </c>
      <c r="AO203">
        <v>2025</v>
      </c>
      <c r="AP203">
        <v>1</v>
      </c>
    </row>
    <row r="204" spans="1:42" x14ac:dyDescent="0.25">
      <c r="A204">
        <v>704.51</v>
      </c>
      <c r="B204">
        <v>4627.05</v>
      </c>
      <c r="C204">
        <v>577</v>
      </c>
      <c r="D204">
        <v>1414.5</v>
      </c>
      <c r="E204">
        <v>507.74</v>
      </c>
      <c r="F204">
        <v>7830.81</v>
      </c>
      <c r="G204">
        <v>1030.6600000000001</v>
      </c>
      <c r="H204">
        <v>1588.61</v>
      </c>
      <c r="I204">
        <v>607.5</v>
      </c>
      <c r="J204">
        <v>3226.77</v>
      </c>
      <c r="K204">
        <v>11057.58</v>
      </c>
      <c r="L204">
        <v>6928.77</v>
      </c>
      <c r="M204">
        <v>480.04</v>
      </c>
      <c r="N204">
        <v>371</v>
      </c>
      <c r="O204">
        <v>95.62</v>
      </c>
      <c r="P204">
        <v>7875.44</v>
      </c>
      <c r="Q204">
        <v>145.43</v>
      </c>
      <c r="R204">
        <v>469.24</v>
      </c>
      <c r="S204">
        <v>190.24</v>
      </c>
      <c r="T204">
        <v>710.47</v>
      </c>
      <c r="U204">
        <v>127.16</v>
      </c>
      <c r="V204">
        <v>0</v>
      </c>
      <c r="W204">
        <v>3967.1</v>
      </c>
      <c r="X204">
        <v>5609.64</v>
      </c>
      <c r="Y204">
        <v>415.15</v>
      </c>
      <c r="Z204">
        <v>1189.3</v>
      </c>
      <c r="AA204">
        <v>2947.01</v>
      </c>
      <c r="AB204">
        <v>1258.24</v>
      </c>
      <c r="AC204">
        <v>1296.01</v>
      </c>
      <c r="AD204">
        <v>39.9</v>
      </c>
      <c r="AE204">
        <v>31688.26</v>
      </c>
      <c r="AF204">
        <v>20422</v>
      </c>
      <c r="AG204" t="s">
        <v>93</v>
      </c>
      <c r="AH204" t="s">
        <v>94</v>
      </c>
      <c r="AI204" t="s">
        <v>93</v>
      </c>
      <c r="AJ204" t="s">
        <v>94</v>
      </c>
      <c r="AK204">
        <v>16795</v>
      </c>
      <c r="AL204" t="s">
        <v>50</v>
      </c>
      <c r="AM204">
        <v>3</v>
      </c>
      <c r="AN204">
        <v>3</v>
      </c>
      <c r="AO204">
        <v>2025</v>
      </c>
      <c r="AP204">
        <v>1</v>
      </c>
    </row>
    <row r="205" spans="1:42" x14ac:dyDescent="0.25">
      <c r="A205">
        <v>707.97</v>
      </c>
      <c r="B205">
        <v>1182.76</v>
      </c>
      <c r="C205">
        <v>648.05999999999995</v>
      </c>
      <c r="D205">
        <v>300.83999999999997</v>
      </c>
      <c r="E205">
        <v>2275.15</v>
      </c>
      <c r="F205">
        <v>5114.7700000000004</v>
      </c>
      <c r="G205">
        <v>324.27</v>
      </c>
      <c r="H205">
        <v>1256.82</v>
      </c>
      <c r="I205">
        <v>382.62</v>
      </c>
      <c r="J205">
        <v>1963.72</v>
      </c>
      <c r="K205">
        <v>7078.49</v>
      </c>
      <c r="L205">
        <v>205.78</v>
      </c>
      <c r="M205">
        <v>113.49</v>
      </c>
      <c r="N205">
        <v>0</v>
      </c>
      <c r="O205">
        <v>52</v>
      </c>
      <c r="P205">
        <v>371.27</v>
      </c>
      <c r="Q205">
        <v>0</v>
      </c>
      <c r="R205">
        <v>118.84</v>
      </c>
      <c r="S205">
        <v>183.03</v>
      </c>
      <c r="T205">
        <v>-11.4</v>
      </c>
      <c r="U205">
        <v>0</v>
      </c>
      <c r="V205">
        <v>0</v>
      </c>
      <c r="W205">
        <v>2717.42</v>
      </c>
      <c r="X205">
        <v>3007.89</v>
      </c>
      <c r="Y205">
        <v>8.3699999999999992</v>
      </c>
      <c r="Z205">
        <v>1000.58</v>
      </c>
      <c r="AA205">
        <v>1566.01</v>
      </c>
      <c r="AB205">
        <v>10.88</v>
      </c>
      <c r="AC205">
        <v>271.63</v>
      </c>
      <c r="AD205">
        <v>2.56</v>
      </c>
      <c r="AE205">
        <v>13317.68</v>
      </c>
      <c r="AF205">
        <v>20046</v>
      </c>
      <c r="AG205" t="s">
        <v>124</v>
      </c>
      <c r="AH205" t="s">
        <v>125</v>
      </c>
      <c r="AI205" t="s">
        <v>124</v>
      </c>
      <c r="AJ205" t="s">
        <v>125</v>
      </c>
      <c r="AK205">
        <v>6024</v>
      </c>
      <c r="AL205" t="s">
        <v>44</v>
      </c>
      <c r="AM205">
        <v>2</v>
      </c>
      <c r="AN205">
        <v>2</v>
      </c>
      <c r="AO205">
        <v>2025</v>
      </c>
      <c r="AP205">
        <v>3</v>
      </c>
    </row>
    <row r="206" spans="1:42" x14ac:dyDescent="0.25">
      <c r="A206">
        <v>741.26</v>
      </c>
      <c r="B206">
        <v>10885.27</v>
      </c>
      <c r="C206">
        <v>4917.71</v>
      </c>
      <c r="D206">
        <v>1914.11</v>
      </c>
      <c r="E206">
        <v>1012.25</v>
      </c>
      <c r="F206">
        <v>19470.599999999999</v>
      </c>
      <c r="G206">
        <v>17370.86</v>
      </c>
      <c r="H206">
        <v>1902.27</v>
      </c>
      <c r="I206">
        <v>742.69</v>
      </c>
      <c r="J206">
        <v>20015.82</v>
      </c>
      <c r="K206">
        <v>39486.410000000003</v>
      </c>
      <c r="L206">
        <v>59080.24</v>
      </c>
      <c r="M206">
        <v>16289.04</v>
      </c>
      <c r="N206">
        <v>954.37</v>
      </c>
      <c r="O206">
        <v>0</v>
      </c>
      <c r="P206">
        <v>76323.64</v>
      </c>
      <c r="Q206">
        <v>228.07</v>
      </c>
      <c r="R206">
        <v>0</v>
      </c>
      <c r="S206">
        <v>1380.36</v>
      </c>
      <c r="T206">
        <v>0</v>
      </c>
      <c r="U206">
        <v>0</v>
      </c>
      <c r="V206">
        <v>0</v>
      </c>
      <c r="W206">
        <v>14065.69</v>
      </c>
      <c r="X206">
        <v>15674.12</v>
      </c>
      <c r="Y206">
        <v>2868.83</v>
      </c>
      <c r="Z206">
        <v>20841.810000000001</v>
      </c>
      <c r="AA206">
        <v>776.31</v>
      </c>
      <c r="AB206">
        <v>0</v>
      </c>
      <c r="AC206">
        <v>5156.3999999999996</v>
      </c>
      <c r="AD206">
        <v>0</v>
      </c>
      <c r="AE206">
        <v>161127.51999999999</v>
      </c>
      <c r="AF206">
        <v>20405</v>
      </c>
      <c r="AG206" t="s">
        <v>58</v>
      </c>
      <c r="AH206" t="s">
        <v>59</v>
      </c>
      <c r="AI206" t="s">
        <v>58</v>
      </c>
      <c r="AJ206" t="s">
        <v>59</v>
      </c>
      <c r="AK206">
        <v>11049</v>
      </c>
      <c r="AL206" t="s">
        <v>47</v>
      </c>
      <c r="AM206">
        <v>2</v>
      </c>
      <c r="AN206">
        <v>2</v>
      </c>
      <c r="AO206">
        <v>2025</v>
      </c>
      <c r="AP206">
        <v>4</v>
      </c>
    </row>
    <row r="207" spans="1:42" x14ac:dyDescent="0.25">
      <c r="A207">
        <v>775.42</v>
      </c>
      <c r="B207">
        <v>3414.79</v>
      </c>
      <c r="C207">
        <v>1250.8399999999999</v>
      </c>
      <c r="D207">
        <v>483.09</v>
      </c>
      <c r="E207">
        <v>4119.9799999999996</v>
      </c>
      <c r="F207">
        <v>10044.129999999999</v>
      </c>
      <c r="G207">
        <v>199.29</v>
      </c>
      <c r="H207">
        <v>2287.61</v>
      </c>
      <c r="I207">
        <v>676.98</v>
      </c>
      <c r="J207">
        <v>3163.88</v>
      </c>
      <c r="K207">
        <v>13208.01</v>
      </c>
      <c r="L207">
        <v>124.79</v>
      </c>
      <c r="M207">
        <v>515.44000000000005</v>
      </c>
      <c r="N207">
        <v>0</v>
      </c>
      <c r="O207">
        <v>48.41</v>
      </c>
      <c r="P207">
        <v>688.64</v>
      </c>
      <c r="Q207">
        <v>1.98</v>
      </c>
      <c r="R207">
        <v>151.46</v>
      </c>
      <c r="S207">
        <v>206.35</v>
      </c>
      <c r="T207">
        <v>697.18</v>
      </c>
      <c r="U207">
        <v>0</v>
      </c>
      <c r="V207">
        <v>0</v>
      </c>
      <c r="W207">
        <v>2416.61</v>
      </c>
      <c r="X207">
        <v>3473.59</v>
      </c>
      <c r="Y207">
        <v>34.81</v>
      </c>
      <c r="Z207">
        <v>1556.21</v>
      </c>
      <c r="AA207">
        <v>1877.27</v>
      </c>
      <c r="AB207">
        <v>14.42</v>
      </c>
      <c r="AC207">
        <v>51.96</v>
      </c>
      <c r="AD207">
        <v>5.67</v>
      </c>
      <c r="AE207">
        <v>20910.57</v>
      </c>
      <c r="AF207">
        <v>20046</v>
      </c>
      <c r="AG207" t="s">
        <v>124</v>
      </c>
      <c r="AH207" t="s">
        <v>125</v>
      </c>
      <c r="AI207" t="s">
        <v>124</v>
      </c>
      <c r="AJ207" t="s">
        <v>125</v>
      </c>
      <c r="AK207">
        <v>6024</v>
      </c>
      <c r="AL207" t="s">
        <v>44</v>
      </c>
      <c r="AM207">
        <v>2</v>
      </c>
      <c r="AN207">
        <v>2</v>
      </c>
      <c r="AO207">
        <v>2025</v>
      </c>
      <c r="AP207">
        <v>2</v>
      </c>
    </row>
    <row r="208" spans="1:42" x14ac:dyDescent="0.25">
      <c r="A208">
        <v>776</v>
      </c>
      <c r="B208">
        <v>24426</v>
      </c>
      <c r="C208">
        <v>6467</v>
      </c>
      <c r="D208">
        <v>17167</v>
      </c>
      <c r="E208">
        <v>8904</v>
      </c>
      <c r="F208">
        <v>57741</v>
      </c>
      <c r="G208">
        <v>6627</v>
      </c>
      <c r="H208">
        <v>10254</v>
      </c>
      <c r="I208">
        <v>4537</v>
      </c>
      <c r="J208">
        <v>21418</v>
      </c>
      <c r="K208">
        <v>79159</v>
      </c>
      <c r="L208">
        <v>0</v>
      </c>
      <c r="M208">
        <v>2120</v>
      </c>
      <c r="N208">
        <v>2</v>
      </c>
      <c r="O208">
        <v>3267</v>
      </c>
      <c r="P208">
        <v>5389</v>
      </c>
      <c r="Q208">
        <v>3</v>
      </c>
      <c r="R208">
        <v>335</v>
      </c>
      <c r="S208">
        <v>395</v>
      </c>
      <c r="T208">
        <v>19684</v>
      </c>
      <c r="U208">
        <v>0</v>
      </c>
      <c r="V208">
        <v>0</v>
      </c>
      <c r="W208">
        <v>-21930</v>
      </c>
      <c r="X208">
        <v>-1512</v>
      </c>
      <c r="Y208">
        <v>0</v>
      </c>
      <c r="Z208">
        <v>37</v>
      </c>
      <c r="AA208">
        <v>14579</v>
      </c>
      <c r="AB208">
        <v>0</v>
      </c>
      <c r="AC208">
        <v>921</v>
      </c>
      <c r="AD208">
        <v>0</v>
      </c>
      <c r="AE208">
        <v>98573</v>
      </c>
      <c r="AF208">
        <v>19687</v>
      </c>
      <c r="AG208" t="s">
        <v>48</v>
      </c>
      <c r="AH208" t="s">
        <v>49</v>
      </c>
      <c r="AI208" t="s">
        <v>48</v>
      </c>
      <c r="AJ208" t="s">
        <v>49</v>
      </c>
      <c r="AK208">
        <v>6580</v>
      </c>
      <c r="AL208" t="s">
        <v>44</v>
      </c>
      <c r="AM208">
        <v>2</v>
      </c>
      <c r="AN208">
        <v>2</v>
      </c>
      <c r="AO208">
        <v>2025</v>
      </c>
      <c r="AP208">
        <v>1</v>
      </c>
    </row>
    <row r="209" spans="1:42" x14ac:dyDescent="0.25">
      <c r="A209">
        <v>778.58</v>
      </c>
      <c r="B209">
        <v>24266.07</v>
      </c>
      <c r="C209">
        <v>2469.69</v>
      </c>
      <c r="D209">
        <v>5261.6</v>
      </c>
      <c r="E209">
        <v>9201.5300000000007</v>
      </c>
      <c r="F209">
        <v>41977.47</v>
      </c>
      <c r="G209">
        <v>4355.47</v>
      </c>
      <c r="H209">
        <v>10752.71</v>
      </c>
      <c r="I209">
        <v>2646.8</v>
      </c>
      <c r="J209">
        <v>17754.98</v>
      </c>
      <c r="K209">
        <v>59732.45</v>
      </c>
      <c r="L209">
        <v>39161.129999999997</v>
      </c>
      <c r="M209">
        <v>2139.38</v>
      </c>
      <c r="N209">
        <v>5795.56</v>
      </c>
      <c r="O209">
        <v>1102.93</v>
      </c>
      <c r="P209">
        <v>48199</v>
      </c>
      <c r="Q209">
        <v>3792.51</v>
      </c>
      <c r="R209">
        <v>895.61</v>
      </c>
      <c r="S209">
        <v>273.95</v>
      </c>
      <c r="T209">
        <v>12826.34</v>
      </c>
      <c r="U209">
        <v>426.43</v>
      </c>
      <c r="V209">
        <v>264.52999999999997</v>
      </c>
      <c r="W209">
        <v>18147.419999999998</v>
      </c>
      <c r="X209">
        <v>36626.800000000003</v>
      </c>
      <c r="Y209">
        <v>3410.53</v>
      </c>
      <c r="Z209">
        <v>14217.83</v>
      </c>
      <c r="AA209">
        <v>7195.98</v>
      </c>
      <c r="AB209">
        <v>26.73</v>
      </c>
      <c r="AC209">
        <v>4542.24</v>
      </c>
      <c r="AD209">
        <v>470.69</v>
      </c>
      <c r="AE209">
        <v>174422.26</v>
      </c>
      <c r="AF209">
        <v>19690</v>
      </c>
      <c r="AG209" t="s">
        <v>126</v>
      </c>
      <c r="AH209" t="s">
        <v>127</v>
      </c>
      <c r="AI209" t="s">
        <v>126</v>
      </c>
      <c r="AJ209" t="s">
        <v>127</v>
      </c>
      <c r="AK209">
        <v>15375</v>
      </c>
      <c r="AL209" t="s">
        <v>64</v>
      </c>
      <c r="AM209">
        <v>3</v>
      </c>
      <c r="AN209">
        <v>3</v>
      </c>
      <c r="AO209">
        <v>2025</v>
      </c>
      <c r="AP209">
        <v>2</v>
      </c>
    </row>
    <row r="210" spans="1:42" x14ac:dyDescent="0.25">
      <c r="A210">
        <v>790.04</v>
      </c>
      <c r="B210">
        <v>11005.81</v>
      </c>
      <c r="C210">
        <v>2507.65</v>
      </c>
      <c r="D210">
        <v>1096.58</v>
      </c>
      <c r="E210">
        <v>5471.22</v>
      </c>
      <c r="F210">
        <v>20871.3</v>
      </c>
      <c r="G210">
        <v>2336.62</v>
      </c>
      <c r="H210">
        <v>2870.25</v>
      </c>
      <c r="I210">
        <v>1612.82</v>
      </c>
      <c r="J210">
        <v>6819.69</v>
      </c>
      <c r="K210">
        <v>27690.98</v>
      </c>
      <c r="L210">
        <v>202.31</v>
      </c>
      <c r="M210">
        <v>2353.3200000000002</v>
      </c>
      <c r="N210">
        <v>0</v>
      </c>
      <c r="O210">
        <v>174.44</v>
      </c>
      <c r="P210">
        <v>2730.06</v>
      </c>
      <c r="Q210">
        <v>5.24</v>
      </c>
      <c r="R210">
        <v>208.76</v>
      </c>
      <c r="S210">
        <v>309.82</v>
      </c>
      <c r="T210">
        <v>7908.95</v>
      </c>
      <c r="U210">
        <v>0</v>
      </c>
      <c r="V210">
        <v>0</v>
      </c>
      <c r="W210">
        <v>2713.56</v>
      </c>
      <c r="X210">
        <v>11146.33</v>
      </c>
      <c r="Y210">
        <v>21.18</v>
      </c>
      <c r="Z210">
        <v>2307.0300000000002</v>
      </c>
      <c r="AA210">
        <v>1941.55</v>
      </c>
      <c r="AB210">
        <v>152.97999999999999</v>
      </c>
      <c r="AC210">
        <v>146.56</v>
      </c>
      <c r="AD210">
        <v>0.59</v>
      </c>
      <c r="AE210">
        <v>46137.26</v>
      </c>
      <c r="AF210">
        <v>20046</v>
      </c>
      <c r="AG210" t="s">
        <v>124</v>
      </c>
      <c r="AH210" t="s">
        <v>125</v>
      </c>
      <c r="AI210" t="s">
        <v>124</v>
      </c>
      <c r="AJ210" t="s">
        <v>125</v>
      </c>
      <c r="AK210">
        <v>6024</v>
      </c>
      <c r="AL210" t="s">
        <v>44</v>
      </c>
      <c r="AM210">
        <v>2</v>
      </c>
      <c r="AN210">
        <v>2</v>
      </c>
      <c r="AO210">
        <v>2025</v>
      </c>
      <c r="AP210">
        <v>1</v>
      </c>
    </row>
    <row r="211" spans="1:42" x14ac:dyDescent="0.25">
      <c r="A211">
        <v>808</v>
      </c>
      <c r="B211">
        <v>26174</v>
      </c>
      <c r="C211">
        <v>4429</v>
      </c>
      <c r="D211">
        <v>4114</v>
      </c>
      <c r="E211">
        <v>7695</v>
      </c>
      <c r="F211">
        <v>43221</v>
      </c>
      <c r="G211">
        <v>3931</v>
      </c>
      <c r="H211">
        <v>11803</v>
      </c>
      <c r="I211">
        <v>2306</v>
      </c>
      <c r="J211">
        <v>18040</v>
      </c>
      <c r="K211">
        <v>61261</v>
      </c>
      <c r="L211">
        <v>36233</v>
      </c>
      <c r="M211">
        <v>1678</v>
      </c>
      <c r="N211">
        <v>5107</v>
      </c>
      <c r="O211">
        <v>3804</v>
      </c>
      <c r="P211">
        <v>46822</v>
      </c>
      <c r="Q211">
        <v>1431</v>
      </c>
      <c r="R211">
        <v>421</v>
      </c>
      <c r="S211">
        <v>315</v>
      </c>
      <c r="T211">
        <v>12862</v>
      </c>
      <c r="U211">
        <v>207</v>
      </c>
      <c r="V211">
        <v>183</v>
      </c>
      <c r="W211">
        <v>11396</v>
      </c>
      <c r="X211">
        <v>26813</v>
      </c>
      <c r="Y211">
        <v>3772</v>
      </c>
      <c r="Z211">
        <v>11362</v>
      </c>
      <c r="AA211">
        <v>9459</v>
      </c>
      <c r="AB211">
        <v>0</v>
      </c>
      <c r="AC211">
        <v>1125</v>
      </c>
      <c r="AD211">
        <v>0</v>
      </c>
      <c r="AE211">
        <v>160614</v>
      </c>
      <c r="AF211">
        <v>19690</v>
      </c>
      <c r="AG211" t="s">
        <v>126</v>
      </c>
      <c r="AH211" t="s">
        <v>127</v>
      </c>
      <c r="AI211" t="s">
        <v>126</v>
      </c>
      <c r="AJ211" t="s">
        <v>127</v>
      </c>
      <c r="AK211">
        <v>15375</v>
      </c>
      <c r="AL211" t="s">
        <v>64</v>
      </c>
      <c r="AM211">
        <v>3</v>
      </c>
      <c r="AN211">
        <v>3</v>
      </c>
      <c r="AO211">
        <v>2025</v>
      </c>
      <c r="AP211">
        <v>4</v>
      </c>
    </row>
    <row r="212" spans="1:42" x14ac:dyDescent="0.25">
      <c r="A212">
        <v>835</v>
      </c>
      <c r="B212">
        <v>26548</v>
      </c>
      <c r="C212">
        <v>7283</v>
      </c>
      <c r="D212">
        <v>21007</v>
      </c>
      <c r="E212">
        <v>9313</v>
      </c>
      <c r="F212">
        <v>64986</v>
      </c>
      <c r="G212">
        <v>9039</v>
      </c>
      <c r="H212">
        <v>13760</v>
      </c>
      <c r="I212">
        <v>4959</v>
      </c>
      <c r="J212">
        <v>27757</v>
      </c>
      <c r="K212">
        <v>92743</v>
      </c>
      <c r="L212">
        <v>0</v>
      </c>
      <c r="M212">
        <v>1986</v>
      </c>
      <c r="N212">
        <v>3</v>
      </c>
      <c r="O212">
        <v>1639</v>
      </c>
      <c r="P212">
        <v>3629</v>
      </c>
      <c r="Q212">
        <v>11</v>
      </c>
      <c r="R212">
        <v>327</v>
      </c>
      <c r="S212">
        <v>-393</v>
      </c>
      <c r="T212">
        <v>18676</v>
      </c>
      <c r="U212">
        <v>0</v>
      </c>
      <c r="V212">
        <v>0</v>
      </c>
      <c r="W212">
        <v>-23506</v>
      </c>
      <c r="X212">
        <v>-4885</v>
      </c>
      <c r="Y212">
        <v>0</v>
      </c>
      <c r="Z212">
        <v>36</v>
      </c>
      <c r="AA212">
        <v>15663</v>
      </c>
      <c r="AB212">
        <v>0</v>
      </c>
      <c r="AC212">
        <v>2896</v>
      </c>
      <c r="AD212">
        <v>0</v>
      </c>
      <c r="AE212">
        <v>110082</v>
      </c>
      <c r="AF212">
        <v>19687</v>
      </c>
      <c r="AG212" t="s">
        <v>48</v>
      </c>
      <c r="AH212" t="s">
        <v>49</v>
      </c>
      <c r="AI212" t="s">
        <v>48</v>
      </c>
      <c r="AJ212" t="s">
        <v>49</v>
      </c>
      <c r="AK212">
        <v>6580</v>
      </c>
      <c r="AL212" t="s">
        <v>44</v>
      </c>
      <c r="AM212">
        <v>2</v>
      </c>
      <c r="AN212">
        <v>2</v>
      </c>
      <c r="AO212">
        <v>2025</v>
      </c>
      <c r="AP212">
        <v>3</v>
      </c>
    </row>
    <row r="213" spans="1:42" x14ac:dyDescent="0.25">
      <c r="A213">
        <v>840.29</v>
      </c>
      <c r="B213">
        <v>3694.06</v>
      </c>
      <c r="C213">
        <v>1402.23</v>
      </c>
      <c r="D213">
        <v>1032.72</v>
      </c>
      <c r="E213">
        <v>1626.19</v>
      </c>
      <c r="F213">
        <v>8595.49</v>
      </c>
      <c r="G213">
        <v>1000.47</v>
      </c>
      <c r="H213">
        <v>1589.47</v>
      </c>
      <c r="I213">
        <v>488.92</v>
      </c>
      <c r="J213">
        <v>3078.86</v>
      </c>
      <c r="K213">
        <v>11674.35</v>
      </c>
      <c r="L213">
        <v>2437.1799999999998</v>
      </c>
      <c r="M213">
        <v>904.84</v>
      </c>
      <c r="N213">
        <v>0</v>
      </c>
      <c r="O213">
        <v>219.38</v>
      </c>
      <c r="P213">
        <v>3561.39</v>
      </c>
      <c r="Q213">
        <v>20.76</v>
      </c>
      <c r="R213">
        <v>45.9</v>
      </c>
      <c r="S213">
        <v>104.15</v>
      </c>
      <c r="T213">
        <v>2822.71</v>
      </c>
      <c r="U213">
        <v>0</v>
      </c>
      <c r="V213">
        <v>0</v>
      </c>
      <c r="W213">
        <v>3351.3</v>
      </c>
      <c r="X213">
        <v>6344.81</v>
      </c>
      <c r="Y213">
        <v>45.69</v>
      </c>
      <c r="Z213">
        <v>430.43</v>
      </c>
      <c r="AA213">
        <v>2647.18</v>
      </c>
      <c r="AB213">
        <v>0</v>
      </c>
      <c r="AC213">
        <v>351.09</v>
      </c>
      <c r="AD213">
        <v>0.35</v>
      </c>
      <c r="AE213">
        <v>25055.3</v>
      </c>
      <c r="AF213">
        <v>20169</v>
      </c>
      <c r="AG213" t="s">
        <v>56</v>
      </c>
      <c r="AH213" t="s">
        <v>57</v>
      </c>
      <c r="AI213" t="s">
        <v>56</v>
      </c>
      <c r="AJ213" t="s">
        <v>57</v>
      </c>
      <c r="AK213">
        <v>6699</v>
      </c>
      <c r="AL213" t="s">
        <v>44</v>
      </c>
      <c r="AM213">
        <v>2</v>
      </c>
      <c r="AN213">
        <v>2</v>
      </c>
      <c r="AO213">
        <v>2025</v>
      </c>
      <c r="AP213">
        <v>3</v>
      </c>
    </row>
    <row r="214" spans="1:42" x14ac:dyDescent="0.25">
      <c r="A214">
        <v>844.73</v>
      </c>
      <c r="B214">
        <v>1227.75</v>
      </c>
      <c r="C214">
        <v>642.36</v>
      </c>
      <c r="D214">
        <v>327.91</v>
      </c>
      <c r="E214">
        <v>367.94</v>
      </c>
      <c r="F214">
        <v>3410.69</v>
      </c>
      <c r="G214">
        <v>267.97000000000003</v>
      </c>
      <c r="H214">
        <v>1067.99</v>
      </c>
      <c r="I214">
        <v>133.09</v>
      </c>
      <c r="J214">
        <v>1469.04</v>
      </c>
      <c r="K214">
        <v>4879.74</v>
      </c>
      <c r="L214">
        <v>530.89</v>
      </c>
      <c r="M214">
        <v>731.46</v>
      </c>
      <c r="N214">
        <v>0</v>
      </c>
      <c r="O214">
        <v>103.52</v>
      </c>
      <c r="P214">
        <v>1365.87</v>
      </c>
      <c r="Q214">
        <v>0</v>
      </c>
      <c r="R214">
        <v>124.15</v>
      </c>
      <c r="S214">
        <v>179.21</v>
      </c>
      <c r="T214">
        <v>1200.81</v>
      </c>
      <c r="U214">
        <v>0</v>
      </c>
      <c r="V214">
        <v>0</v>
      </c>
      <c r="W214">
        <v>1685.22</v>
      </c>
      <c r="X214">
        <v>3189.39</v>
      </c>
      <c r="Y214">
        <v>36.909999999999997</v>
      </c>
      <c r="Z214">
        <v>753.91</v>
      </c>
      <c r="AA214">
        <v>1337.76</v>
      </c>
      <c r="AB214">
        <v>10.88</v>
      </c>
      <c r="AC214">
        <v>278.14999999999998</v>
      </c>
      <c r="AD214">
        <v>38.22</v>
      </c>
      <c r="AE214">
        <v>11890.81</v>
      </c>
      <c r="AF214">
        <v>20046</v>
      </c>
      <c r="AG214" t="s">
        <v>124</v>
      </c>
      <c r="AH214" t="s">
        <v>125</v>
      </c>
      <c r="AI214" t="s">
        <v>124</v>
      </c>
      <c r="AJ214" t="s">
        <v>125</v>
      </c>
      <c r="AK214">
        <v>6024</v>
      </c>
      <c r="AL214" t="s">
        <v>44</v>
      </c>
      <c r="AM214">
        <v>2</v>
      </c>
      <c r="AN214">
        <v>2</v>
      </c>
      <c r="AO214">
        <v>2025</v>
      </c>
      <c r="AP214">
        <v>4</v>
      </c>
    </row>
    <row r="215" spans="1:42" x14ac:dyDescent="0.25">
      <c r="A215">
        <v>849</v>
      </c>
      <c r="B215">
        <v>22446</v>
      </c>
      <c r="C215">
        <v>3980</v>
      </c>
      <c r="D215">
        <v>3506</v>
      </c>
      <c r="E215">
        <v>8090</v>
      </c>
      <c r="F215">
        <v>38872</v>
      </c>
      <c r="G215">
        <v>3961</v>
      </c>
      <c r="H215">
        <v>9761</v>
      </c>
      <c r="I215">
        <v>2105</v>
      </c>
      <c r="J215">
        <v>15827</v>
      </c>
      <c r="K215">
        <v>54699</v>
      </c>
      <c r="L215">
        <v>32957</v>
      </c>
      <c r="M215">
        <v>1788</v>
      </c>
      <c r="N215">
        <v>4823</v>
      </c>
      <c r="O215">
        <v>4350</v>
      </c>
      <c r="P215">
        <v>43917</v>
      </c>
      <c r="Q215">
        <v>1206</v>
      </c>
      <c r="R215">
        <v>444</v>
      </c>
      <c r="S215">
        <v>288</v>
      </c>
      <c r="T215">
        <v>13821</v>
      </c>
      <c r="U215">
        <v>269</v>
      </c>
      <c r="V215">
        <v>124</v>
      </c>
      <c r="W215">
        <v>11612</v>
      </c>
      <c r="X215">
        <v>27765</v>
      </c>
      <c r="Y215">
        <v>3577</v>
      </c>
      <c r="Z215">
        <v>11647</v>
      </c>
      <c r="AA215">
        <v>9638</v>
      </c>
      <c r="AB215">
        <v>0</v>
      </c>
      <c r="AC215">
        <v>1797</v>
      </c>
      <c r="AD215">
        <v>34</v>
      </c>
      <c r="AE215">
        <v>153073</v>
      </c>
      <c r="AF215">
        <v>19690</v>
      </c>
      <c r="AG215" t="s">
        <v>126</v>
      </c>
      <c r="AH215" t="s">
        <v>127</v>
      </c>
      <c r="AI215" t="s">
        <v>126</v>
      </c>
      <c r="AJ215" t="s">
        <v>127</v>
      </c>
      <c r="AK215">
        <v>15375</v>
      </c>
      <c r="AL215" t="s">
        <v>64</v>
      </c>
      <c r="AM215">
        <v>3</v>
      </c>
      <c r="AN215">
        <v>3</v>
      </c>
      <c r="AO215">
        <v>2025</v>
      </c>
      <c r="AP215">
        <v>3</v>
      </c>
    </row>
    <row r="216" spans="1:42" x14ac:dyDescent="0.25">
      <c r="A216">
        <v>859.01</v>
      </c>
      <c r="B216">
        <v>87270.09</v>
      </c>
      <c r="C216">
        <v>15428.43</v>
      </c>
      <c r="D216">
        <v>2941.78</v>
      </c>
      <c r="E216">
        <v>20047.46</v>
      </c>
      <c r="F216">
        <v>126546.76</v>
      </c>
      <c r="G216">
        <v>20372.77</v>
      </c>
      <c r="H216">
        <v>11931.52</v>
      </c>
      <c r="I216">
        <v>9621.9</v>
      </c>
      <c r="J216">
        <v>41926.19</v>
      </c>
      <c r="K216">
        <v>168472.95</v>
      </c>
      <c r="L216">
        <v>0</v>
      </c>
      <c r="M216">
        <v>8373.73</v>
      </c>
      <c r="N216">
        <v>0</v>
      </c>
      <c r="O216">
        <v>3737.48</v>
      </c>
      <c r="P216">
        <v>12111.21</v>
      </c>
      <c r="Q216">
        <v>0</v>
      </c>
      <c r="R216">
        <v>135.77000000000001</v>
      </c>
      <c r="S216">
        <v>1033.2</v>
      </c>
      <c r="T216">
        <v>80200.820000000007</v>
      </c>
      <c r="U216">
        <v>0</v>
      </c>
      <c r="V216">
        <v>0</v>
      </c>
      <c r="W216">
        <v>8589.74</v>
      </c>
      <c r="X216">
        <v>89959.54</v>
      </c>
      <c r="Y216">
        <v>0</v>
      </c>
      <c r="Z216">
        <v>34777.599999999999</v>
      </c>
      <c r="AA216">
        <v>6905.6</v>
      </c>
      <c r="AB216">
        <v>0</v>
      </c>
      <c r="AC216">
        <v>1812.49</v>
      </c>
      <c r="AD216">
        <v>0</v>
      </c>
      <c r="AE216">
        <v>314039.39</v>
      </c>
      <c r="AF216">
        <v>20397</v>
      </c>
      <c r="AG216" t="s">
        <v>65</v>
      </c>
      <c r="AH216" t="s">
        <v>66</v>
      </c>
      <c r="AI216" t="s">
        <v>65</v>
      </c>
      <c r="AJ216" t="s">
        <v>66</v>
      </c>
      <c r="AK216">
        <v>7028</v>
      </c>
      <c r="AL216" t="s">
        <v>44</v>
      </c>
      <c r="AM216">
        <v>2</v>
      </c>
      <c r="AN216">
        <v>2</v>
      </c>
      <c r="AO216">
        <v>2025</v>
      </c>
      <c r="AP216">
        <v>2</v>
      </c>
    </row>
    <row r="217" spans="1:42" x14ac:dyDescent="0.25">
      <c r="A217">
        <v>867.88</v>
      </c>
      <c r="B217">
        <v>7639.03</v>
      </c>
      <c r="C217">
        <v>1565.65</v>
      </c>
      <c r="D217">
        <v>471.23</v>
      </c>
      <c r="E217">
        <v>1474.61</v>
      </c>
      <c r="F217">
        <v>12018.4</v>
      </c>
      <c r="G217">
        <v>1586.43</v>
      </c>
      <c r="H217">
        <v>2363.98</v>
      </c>
      <c r="I217">
        <v>1122.6300000000001</v>
      </c>
      <c r="J217">
        <v>5073.03</v>
      </c>
      <c r="K217">
        <v>17091.43</v>
      </c>
      <c r="L217">
        <v>16140.16</v>
      </c>
      <c r="M217">
        <v>247.72</v>
      </c>
      <c r="N217">
        <v>1.23</v>
      </c>
      <c r="O217">
        <v>244.28</v>
      </c>
      <c r="P217">
        <v>16633.39</v>
      </c>
      <c r="Q217">
        <v>60.68</v>
      </c>
      <c r="R217">
        <v>773.89</v>
      </c>
      <c r="S217">
        <v>80.13</v>
      </c>
      <c r="T217">
        <v>994.43</v>
      </c>
      <c r="U217">
        <v>71.790000000000006</v>
      </c>
      <c r="V217">
        <v>0</v>
      </c>
      <c r="W217">
        <v>10830.56</v>
      </c>
      <c r="X217">
        <v>12811.48</v>
      </c>
      <c r="Y217">
        <v>2142.2399999999998</v>
      </c>
      <c r="Z217">
        <v>17499.25</v>
      </c>
      <c r="AA217">
        <v>748.18</v>
      </c>
      <c r="AB217">
        <v>3.03</v>
      </c>
      <c r="AC217">
        <v>-622.28</v>
      </c>
      <c r="AD217">
        <v>0</v>
      </c>
      <c r="AE217">
        <v>66306.710000000006</v>
      </c>
      <c r="AF217">
        <v>20436</v>
      </c>
      <c r="AG217" t="s">
        <v>122</v>
      </c>
      <c r="AH217" t="s">
        <v>123</v>
      </c>
      <c r="AI217" t="s">
        <v>122</v>
      </c>
      <c r="AJ217" t="s">
        <v>123</v>
      </c>
      <c r="AK217">
        <v>16461</v>
      </c>
      <c r="AL217" t="s">
        <v>50</v>
      </c>
      <c r="AM217">
        <v>3</v>
      </c>
      <c r="AN217">
        <v>3</v>
      </c>
      <c r="AO217">
        <v>2025</v>
      </c>
      <c r="AP217">
        <v>2</v>
      </c>
    </row>
    <row r="218" spans="1:42" x14ac:dyDescent="0.25">
      <c r="A218">
        <v>878.34</v>
      </c>
      <c r="B218">
        <v>5840.94</v>
      </c>
      <c r="C218">
        <v>1362.86</v>
      </c>
      <c r="D218">
        <v>295.08999999999997</v>
      </c>
      <c r="E218">
        <v>1261.49</v>
      </c>
      <c r="F218">
        <v>9638.7099999999991</v>
      </c>
      <c r="G218">
        <v>1462.92</v>
      </c>
      <c r="H218">
        <v>2009.83</v>
      </c>
      <c r="I218">
        <v>817.71</v>
      </c>
      <c r="J218">
        <v>4290.45</v>
      </c>
      <c r="K218">
        <v>13929.17</v>
      </c>
      <c r="L218">
        <v>12965.54</v>
      </c>
      <c r="M218">
        <v>292.37</v>
      </c>
      <c r="N218">
        <v>-0.3</v>
      </c>
      <c r="O218">
        <v>167.71</v>
      </c>
      <c r="P218">
        <v>13425.32</v>
      </c>
      <c r="Q218">
        <v>62.56</v>
      </c>
      <c r="R218">
        <v>1096.3900000000001</v>
      </c>
      <c r="S218">
        <v>54.55</v>
      </c>
      <c r="T218">
        <v>761.24</v>
      </c>
      <c r="U218">
        <v>33.36</v>
      </c>
      <c r="V218">
        <v>0</v>
      </c>
      <c r="W218">
        <v>10011.42</v>
      </c>
      <c r="X218">
        <v>12019.51</v>
      </c>
      <c r="Y218">
        <v>1672.47</v>
      </c>
      <c r="Z218">
        <v>13839.8</v>
      </c>
      <c r="AA218">
        <v>534.95000000000005</v>
      </c>
      <c r="AB218">
        <v>1.8</v>
      </c>
      <c r="AC218">
        <v>-2535.64</v>
      </c>
      <c r="AD218">
        <v>0</v>
      </c>
      <c r="AE218">
        <v>52887.37</v>
      </c>
      <c r="AF218">
        <v>20436</v>
      </c>
      <c r="AG218" t="s">
        <v>122</v>
      </c>
      <c r="AH218" t="s">
        <v>123</v>
      </c>
      <c r="AI218" t="s">
        <v>122</v>
      </c>
      <c r="AJ218" t="s">
        <v>123</v>
      </c>
      <c r="AK218">
        <v>16461</v>
      </c>
      <c r="AL218" t="s">
        <v>50</v>
      </c>
      <c r="AM218">
        <v>3</v>
      </c>
      <c r="AN218">
        <v>3</v>
      </c>
      <c r="AO218">
        <v>2025</v>
      </c>
      <c r="AP218">
        <v>3</v>
      </c>
    </row>
    <row r="219" spans="1:42" x14ac:dyDescent="0.25">
      <c r="A219">
        <v>880.99</v>
      </c>
      <c r="B219">
        <v>0</v>
      </c>
      <c r="C219">
        <v>0</v>
      </c>
      <c r="D219">
        <v>800</v>
      </c>
      <c r="E219">
        <v>0</v>
      </c>
      <c r="F219">
        <v>1681</v>
      </c>
      <c r="G219">
        <v>0</v>
      </c>
      <c r="H219">
        <v>233.22</v>
      </c>
      <c r="I219">
        <v>153.01</v>
      </c>
      <c r="J219">
        <v>386.23</v>
      </c>
      <c r="K219">
        <v>2067.23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265</v>
      </c>
      <c r="AD219">
        <v>14263.61</v>
      </c>
      <c r="AE219">
        <v>16595.84</v>
      </c>
      <c r="AF219">
        <v>20100</v>
      </c>
      <c r="AG219" t="s">
        <v>51</v>
      </c>
      <c r="AH219" t="s">
        <v>52</v>
      </c>
      <c r="AI219" t="s">
        <v>51</v>
      </c>
      <c r="AJ219" t="s">
        <v>52</v>
      </c>
      <c r="AK219">
        <v>16758</v>
      </c>
      <c r="AL219" t="s">
        <v>64</v>
      </c>
      <c r="AM219">
        <v>3</v>
      </c>
      <c r="AN219">
        <v>3</v>
      </c>
      <c r="AO219">
        <v>2025</v>
      </c>
      <c r="AP219">
        <v>3</v>
      </c>
    </row>
    <row r="220" spans="1:42" x14ac:dyDescent="0.25">
      <c r="A220">
        <v>894</v>
      </c>
      <c r="B220">
        <v>27206</v>
      </c>
      <c r="C220">
        <v>7459</v>
      </c>
      <c r="D220">
        <v>21030</v>
      </c>
      <c r="E220">
        <v>9190</v>
      </c>
      <c r="F220">
        <v>65779</v>
      </c>
      <c r="G220">
        <v>7666</v>
      </c>
      <c r="H220">
        <v>15379</v>
      </c>
      <c r="I220">
        <v>4919</v>
      </c>
      <c r="J220">
        <v>27964</v>
      </c>
      <c r="K220">
        <v>93743</v>
      </c>
      <c r="L220">
        <v>0</v>
      </c>
      <c r="M220">
        <v>2913</v>
      </c>
      <c r="N220">
        <v>1</v>
      </c>
      <c r="O220">
        <v>2222</v>
      </c>
      <c r="P220">
        <v>5136</v>
      </c>
      <c r="Q220">
        <v>13</v>
      </c>
      <c r="R220">
        <v>285</v>
      </c>
      <c r="S220">
        <v>429</v>
      </c>
      <c r="T220">
        <v>18705</v>
      </c>
      <c r="U220">
        <v>0</v>
      </c>
      <c r="V220">
        <v>0</v>
      </c>
      <c r="W220">
        <v>-23981</v>
      </c>
      <c r="X220">
        <v>-4548</v>
      </c>
      <c r="Y220">
        <v>0</v>
      </c>
      <c r="Z220">
        <v>32</v>
      </c>
      <c r="AA220">
        <v>16203</v>
      </c>
      <c r="AB220">
        <v>0</v>
      </c>
      <c r="AC220">
        <v>776</v>
      </c>
      <c r="AD220">
        <v>0</v>
      </c>
      <c r="AE220">
        <v>111342</v>
      </c>
      <c r="AF220">
        <v>19687</v>
      </c>
      <c r="AG220" t="s">
        <v>48</v>
      </c>
      <c r="AH220" t="s">
        <v>49</v>
      </c>
      <c r="AI220" t="s">
        <v>48</v>
      </c>
      <c r="AJ220" t="s">
        <v>49</v>
      </c>
      <c r="AK220">
        <v>6580</v>
      </c>
      <c r="AL220" t="s">
        <v>44</v>
      </c>
      <c r="AM220">
        <v>2</v>
      </c>
      <c r="AN220">
        <v>2</v>
      </c>
      <c r="AO220">
        <v>2025</v>
      </c>
      <c r="AP220">
        <v>4</v>
      </c>
    </row>
    <row r="221" spans="1:42" x14ac:dyDescent="0.25">
      <c r="A221">
        <v>936.04</v>
      </c>
      <c r="B221">
        <v>96597.04</v>
      </c>
      <c r="C221">
        <v>8998.5400000000009</v>
      </c>
      <c r="D221">
        <v>22967.78</v>
      </c>
      <c r="E221">
        <v>22179.52</v>
      </c>
      <c r="F221">
        <v>151678.92000000001</v>
      </c>
      <c r="G221">
        <v>13848.59</v>
      </c>
      <c r="H221">
        <v>39957.120000000003</v>
      </c>
      <c r="I221">
        <v>9738.23</v>
      </c>
      <c r="J221">
        <v>63543.94</v>
      </c>
      <c r="K221">
        <v>215222.85</v>
      </c>
      <c r="L221">
        <v>126210.03</v>
      </c>
      <c r="M221">
        <v>7175.43</v>
      </c>
      <c r="N221">
        <v>8896.4</v>
      </c>
      <c r="O221">
        <v>2963.79</v>
      </c>
      <c r="P221">
        <v>145245.65</v>
      </c>
      <c r="Q221">
        <v>4487.71</v>
      </c>
      <c r="R221">
        <v>931.01</v>
      </c>
      <c r="S221">
        <v>1797.65</v>
      </c>
      <c r="T221">
        <v>41147.51</v>
      </c>
      <c r="U221">
        <v>1766.54</v>
      </c>
      <c r="V221">
        <v>0</v>
      </c>
      <c r="W221">
        <v>71843.8</v>
      </c>
      <c r="X221">
        <v>121974.21</v>
      </c>
      <c r="Y221">
        <v>12749.15</v>
      </c>
      <c r="Z221">
        <v>20096.38</v>
      </c>
      <c r="AA221">
        <v>38649.019999999997</v>
      </c>
      <c r="AB221">
        <v>3683.48</v>
      </c>
      <c r="AC221">
        <v>7744.74</v>
      </c>
      <c r="AD221">
        <v>122.81</v>
      </c>
      <c r="AE221">
        <v>565488.29</v>
      </c>
      <c r="AF221">
        <v>20409</v>
      </c>
      <c r="AG221" t="s">
        <v>95</v>
      </c>
      <c r="AH221" t="s">
        <v>96</v>
      </c>
      <c r="AI221" t="s">
        <v>95</v>
      </c>
      <c r="AJ221" t="s">
        <v>96</v>
      </c>
      <c r="AK221">
        <v>16673</v>
      </c>
      <c r="AL221" t="s">
        <v>50</v>
      </c>
      <c r="AM221">
        <v>3</v>
      </c>
      <c r="AN221">
        <v>3</v>
      </c>
      <c r="AO221">
        <v>2025</v>
      </c>
      <c r="AP221">
        <v>4</v>
      </c>
    </row>
    <row r="222" spans="1:42" x14ac:dyDescent="0.25">
      <c r="A222">
        <v>938.79</v>
      </c>
      <c r="B222">
        <v>23623.38</v>
      </c>
      <c r="C222">
        <v>3207.35</v>
      </c>
      <c r="D222">
        <v>5530.34</v>
      </c>
      <c r="E222">
        <v>9865.93</v>
      </c>
      <c r="F222">
        <v>43165.78</v>
      </c>
      <c r="G222">
        <v>4046.79</v>
      </c>
      <c r="H222">
        <v>11507.69</v>
      </c>
      <c r="I222">
        <v>4182.47</v>
      </c>
      <c r="J222">
        <v>19736.95</v>
      </c>
      <c r="K222">
        <v>62902.73</v>
      </c>
      <c r="L222">
        <v>41820.14</v>
      </c>
      <c r="M222">
        <v>960.71</v>
      </c>
      <c r="N222">
        <v>5186.51</v>
      </c>
      <c r="O222">
        <v>1160.17</v>
      </c>
      <c r="P222">
        <v>49127.53</v>
      </c>
      <c r="Q222">
        <v>2398.2600000000002</v>
      </c>
      <c r="R222">
        <v>909.29</v>
      </c>
      <c r="S222">
        <v>299.14</v>
      </c>
      <c r="T222">
        <v>11659.44</v>
      </c>
      <c r="U222">
        <v>401.15</v>
      </c>
      <c r="V222">
        <v>312.85000000000002</v>
      </c>
      <c r="W222">
        <v>20117.939999999999</v>
      </c>
      <c r="X222">
        <v>36098.080000000002</v>
      </c>
      <c r="Y222">
        <v>3205.05</v>
      </c>
      <c r="Z222">
        <v>15191.61</v>
      </c>
      <c r="AA222">
        <v>7406</v>
      </c>
      <c r="AB222">
        <v>29.7</v>
      </c>
      <c r="AC222">
        <v>5279.01</v>
      </c>
      <c r="AD222">
        <v>453.84</v>
      </c>
      <c r="AE222">
        <v>179693.55</v>
      </c>
      <c r="AF222">
        <v>19690</v>
      </c>
      <c r="AG222" t="s">
        <v>126</v>
      </c>
      <c r="AH222" t="s">
        <v>127</v>
      </c>
      <c r="AI222" t="s">
        <v>126</v>
      </c>
      <c r="AJ222" t="s">
        <v>127</v>
      </c>
      <c r="AK222">
        <v>15375</v>
      </c>
      <c r="AL222" t="s">
        <v>64</v>
      </c>
      <c r="AM222">
        <v>3</v>
      </c>
      <c r="AN222">
        <v>3</v>
      </c>
      <c r="AO222">
        <v>2025</v>
      </c>
      <c r="AP222">
        <v>1</v>
      </c>
    </row>
    <row r="223" spans="1:42" x14ac:dyDescent="0.25">
      <c r="A223">
        <v>949.62</v>
      </c>
      <c r="B223">
        <v>3722.77</v>
      </c>
      <c r="C223">
        <v>1438.88</v>
      </c>
      <c r="D223">
        <v>1006.16</v>
      </c>
      <c r="E223">
        <v>1720.73</v>
      </c>
      <c r="F223">
        <v>8838.16</v>
      </c>
      <c r="G223">
        <v>1194.99</v>
      </c>
      <c r="H223">
        <v>1287.18</v>
      </c>
      <c r="I223">
        <v>648.22</v>
      </c>
      <c r="J223">
        <v>3130.38</v>
      </c>
      <c r="K223">
        <v>11968.54</v>
      </c>
      <c r="L223">
        <v>2036.16</v>
      </c>
      <c r="M223">
        <v>1617.6</v>
      </c>
      <c r="N223">
        <v>0</v>
      </c>
      <c r="O223">
        <v>293.60000000000002</v>
      </c>
      <c r="P223">
        <v>3947.36</v>
      </c>
      <c r="Q223">
        <v>21.46</v>
      </c>
      <c r="R223">
        <v>48.04</v>
      </c>
      <c r="S223">
        <v>551.87</v>
      </c>
      <c r="T223">
        <v>3916.09</v>
      </c>
      <c r="U223">
        <v>0</v>
      </c>
      <c r="V223">
        <v>0</v>
      </c>
      <c r="W223">
        <v>3475.07</v>
      </c>
      <c r="X223">
        <v>8012.53</v>
      </c>
      <c r="Y223">
        <v>111.74</v>
      </c>
      <c r="Z223">
        <v>419.36</v>
      </c>
      <c r="AA223">
        <v>2733.66</v>
      </c>
      <c r="AB223">
        <v>0</v>
      </c>
      <c r="AC223">
        <v>368.82</v>
      </c>
      <c r="AD223">
        <v>0</v>
      </c>
      <c r="AE223">
        <v>27562</v>
      </c>
      <c r="AF223">
        <v>20169</v>
      </c>
      <c r="AG223" t="s">
        <v>56</v>
      </c>
      <c r="AH223" t="s">
        <v>57</v>
      </c>
      <c r="AI223" t="s">
        <v>56</v>
      </c>
      <c r="AJ223" t="s">
        <v>57</v>
      </c>
      <c r="AK223">
        <v>6699</v>
      </c>
      <c r="AL223" t="s">
        <v>44</v>
      </c>
      <c r="AM223">
        <v>2</v>
      </c>
      <c r="AN223">
        <v>2</v>
      </c>
      <c r="AO223">
        <v>2025</v>
      </c>
      <c r="AP223">
        <v>2</v>
      </c>
    </row>
    <row r="224" spans="1:42" x14ac:dyDescent="0.25">
      <c r="A224">
        <v>1001.59</v>
      </c>
      <c r="B224">
        <v>3660.9</v>
      </c>
      <c r="C224">
        <v>1385.94</v>
      </c>
      <c r="D224">
        <v>778.15</v>
      </c>
      <c r="E224">
        <v>1816.01</v>
      </c>
      <c r="F224">
        <v>8642.59</v>
      </c>
      <c r="G224">
        <v>1241.05</v>
      </c>
      <c r="H224">
        <v>1389.25</v>
      </c>
      <c r="I224">
        <v>613.03</v>
      </c>
      <c r="J224">
        <v>3243.33</v>
      </c>
      <c r="K224">
        <v>11885.92</v>
      </c>
      <c r="L224">
        <v>1561.44</v>
      </c>
      <c r="M224">
        <v>2419.87</v>
      </c>
      <c r="N224">
        <v>0</v>
      </c>
      <c r="O224">
        <v>338.75</v>
      </c>
      <c r="P224">
        <v>4320.0600000000004</v>
      </c>
      <c r="Q224">
        <v>28.8</v>
      </c>
      <c r="R224">
        <v>41.39</v>
      </c>
      <c r="S224">
        <v>399.24</v>
      </c>
      <c r="T224">
        <v>4843.1400000000003</v>
      </c>
      <c r="U224">
        <v>0</v>
      </c>
      <c r="V224">
        <v>0</v>
      </c>
      <c r="W224">
        <v>2798.48</v>
      </c>
      <c r="X224">
        <v>8111.05</v>
      </c>
      <c r="Y224">
        <v>46.73</v>
      </c>
      <c r="Z224">
        <v>437.43</v>
      </c>
      <c r="AA224">
        <v>2735.97</v>
      </c>
      <c r="AB224">
        <v>0</v>
      </c>
      <c r="AC224">
        <v>491.04</v>
      </c>
      <c r="AD224">
        <v>0</v>
      </c>
      <c r="AE224">
        <v>28028.2</v>
      </c>
      <c r="AF224">
        <v>20169</v>
      </c>
      <c r="AG224" t="s">
        <v>56</v>
      </c>
      <c r="AH224" t="s">
        <v>57</v>
      </c>
      <c r="AI224" t="s">
        <v>56</v>
      </c>
      <c r="AJ224" t="s">
        <v>57</v>
      </c>
      <c r="AK224">
        <v>6699</v>
      </c>
      <c r="AL224" t="s">
        <v>44</v>
      </c>
      <c r="AM224">
        <v>2</v>
      </c>
      <c r="AN224">
        <v>2</v>
      </c>
      <c r="AO224">
        <v>2025</v>
      </c>
      <c r="AP224">
        <v>1</v>
      </c>
    </row>
    <row r="225" spans="1:42" x14ac:dyDescent="0.25">
      <c r="A225">
        <v>1004.17</v>
      </c>
      <c r="B225">
        <v>211306.07</v>
      </c>
      <c r="C225">
        <v>66298.61</v>
      </c>
      <c r="D225">
        <v>63180.52</v>
      </c>
      <c r="E225">
        <v>61779.94</v>
      </c>
      <c r="F225">
        <v>403569.31</v>
      </c>
      <c r="G225">
        <v>34131.129999999997</v>
      </c>
      <c r="H225">
        <v>108758.22</v>
      </c>
      <c r="I225">
        <v>31617.93</v>
      </c>
      <c r="J225">
        <v>174507.28</v>
      </c>
      <c r="K225">
        <v>578076.59</v>
      </c>
      <c r="L225">
        <v>294978.44</v>
      </c>
      <c r="M225">
        <v>43696.51</v>
      </c>
      <c r="N225">
        <v>38488.050000000003</v>
      </c>
      <c r="O225">
        <v>7475.6</v>
      </c>
      <c r="P225">
        <v>384638.61</v>
      </c>
      <c r="Q225">
        <v>5312.61</v>
      </c>
      <c r="R225">
        <v>14743.87</v>
      </c>
      <c r="S225">
        <v>1939.39</v>
      </c>
      <c r="T225">
        <v>75202.179999999993</v>
      </c>
      <c r="U225">
        <v>8770.33</v>
      </c>
      <c r="V225">
        <v>0</v>
      </c>
      <c r="W225">
        <v>135352.68</v>
      </c>
      <c r="X225">
        <v>241321.04</v>
      </c>
      <c r="Y225">
        <v>33585.22</v>
      </c>
      <c r="Z225">
        <v>111247.6</v>
      </c>
      <c r="AA225">
        <v>56645.63</v>
      </c>
      <c r="AB225">
        <v>3492.5</v>
      </c>
      <c r="AC225">
        <v>26522.82</v>
      </c>
      <c r="AD225">
        <v>4517.6000000000004</v>
      </c>
      <c r="AE225">
        <v>1440047.6</v>
      </c>
      <c r="AF225">
        <v>19805</v>
      </c>
      <c r="AG225" t="s">
        <v>105</v>
      </c>
      <c r="AH225" t="s">
        <v>106</v>
      </c>
      <c r="AI225" t="s">
        <v>105</v>
      </c>
      <c r="AJ225" t="s">
        <v>106</v>
      </c>
      <c r="AK225">
        <v>10049</v>
      </c>
      <c r="AL225" t="s">
        <v>53</v>
      </c>
      <c r="AM225">
        <v>3</v>
      </c>
      <c r="AN225">
        <v>3</v>
      </c>
      <c r="AO225">
        <v>2025</v>
      </c>
      <c r="AP225">
        <v>1</v>
      </c>
    </row>
    <row r="226" spans="1:42" x14ac:dyDescent="0.25">
      <c r="A226">
        <v>1020</v>
      </c>
      <c r="B226">
        <v>24971</v>
      </c>
      <c r="C226">
        <v>6901</v>
      </c>
      <c r="D226">
        <v>19539</v>
      </c>
      <c r="E226">
        <v>9213</v>
      </c>
      <c r="F226">
        <v>61644</v>
      </c>
      <c r="G226">
        <v>8161</v>
      </c>
      <c r="H226">
        <v>13258</v>
      </c>
      <c r="I226">
        <v>4935</v>
      </c>
      <c r="J226">
        <v>26353</v>
      </c>
      <c r="K226">
        <v>87997</v>
      </c>
      <c r="L226">
        <v>0</v>
      </c>
      <c r="M226">
        <v>3690</v>
      </c>
      <c r="N226">
        <v>2</v>
      </c>
      <c r="O226">
        <v>1574</v>
      </c>
      <c r="P226">
        <v>5265</v>
      </c>
      <c r="Q226">
        <v>8</v>
      </c>
      <c r="R226">
        <v>276</v>
      </c>
      <c r="S226">
        <v>393</v>
      </c>
      <c r="T226">
        <v>19114</v>
      </c>
      <c r="U226">
        <v>0</v>
      </c>
      <c r="V226">
        <v>0</v>
      </c>
      <c r="W226">
        <v>-22167</v>
      </c>
      <c r="X226">
        <v>-2375</v>
      </c>
      <c r="Y226">
        <v>0</v>
      </c>
      <c r="Z226">
        <v>27</v>
      </c>
      <c r="AA226">
        <v>14894</v>
      </c>
      <c r="AB226">
        <v>0</v>
      </c>
      <c r="AC226">
        <v>2671</v>
      </c>
      <c r="AD226">
        <v>0</v>
      </c>
      <c r="AE226">
        <v>108480</v>
      </c>
      <c r="AF226">
        <v>19687</v>
      </c>
      <c r="AG226" t="s">
        <v>48</v>
      </c>
      <c r="AH226" t="s">
        <v>49</v>
      </c>
      <c r="AI226" t="s">
        <v>48</v>
      </c>
      <c r="AJ226" t="s">
        <v>49</v>
      </c>
      <c r="AK226">
        <v>6580</v>
      </c>
      <c r="AL226" t="s">
        <v>44</v>
      </c>
      <c r="AM226">
        <v>2</v>
      </c>
      <c r="AN226">
        <v>2</v>
      </c>
      <c r="AO226">
        <v>2025</v>
      </c>
      <c r="AP226">
        <v>2</v>
      </c>
    </row>
    <row r="227" spans="1:42" x14ac:dyDescent="0.25">
      <c r="A227">
        <v>1031.04</v>
      </c>
      <c r="B227">
        <v>104847.71</v>
      </c>
      <c r="C227">
        <v>17779.349999999999</v>
      </c>
      <c r="D227">
        <v>3169.04</v>
      </c>
      <c r="E227">
        <v>21355.24</v>
      </c>
      <c r="F227">
        <v>148182.38</v>
      </c>
      <c r="G227">
        <v>21167.82</v>
      </c>
      <c r="H227">
        <v>15799.43</v>
      </c>
      <c r="I227">
        <v>8704.48</v>
      </c>
      <c r="J227">
        <v>45671.72</v>
      </c>
      <c r="K227">
        <v>193854.11</v>
      </c>
      <c r="L227">
        <v>0</v>
      </c>
      <c r="M227">
        <v>10496.1</v>
      </c>
      <c r="N227">
        <v>0</v>
      </c>
      <c r="O227">
        <v>4563.8100000000004</v>
      </c>
      <c r="P227">
        <v>15059.91</v>
      </c>
      <c r="Q227">
        <v>0</v>
      </c>
      <c r="R227">
        <v>82.11</v>
      </c>
      <c r="S227">
        <v>1039.5899999999999</v>
      </c>
      <c r="T227">
        <v>67019</v>
      </c>
      <c r="U227">
        <v>0</v>
      </c>
      <c r="V227">
        <v>0</v>
      </c>
      <c r="W227">
        <v>7700.65</v>
      </c>
      <c r="X227">
        <v>75841.34</v>
      </c>
      <c r="Y227">
        <v>0</v>
      </c>
      <c r="Z227">
        <v>37369.769999999997</v>
      </c>
      <c r="AA227">
        <v>7523.67</v>
      </c>
      <c r="AB227">
        <v>0</v>
      </c>
      <c r="AC227">
        <v>2540.9</v>
      </c>
      <c r="AD227">
        <v>0</v>
      </c>
      <c r="AE227">
        <v>332189.69</v>
      </c>
      <c r="AF227">
        <v>20397</v>
      </c>
      <c r="AG227" t="s">
        <v>65</v>
      </c>
      <c r="AH227" t="s">
        <v>66</v>
      </c>
      <c r="AI227" t="s">
        <v>65</v>
      </c>
      <c r="AJ227" t="s">
        <v>66</v>
      </c>
      <c r="AK227">
        <v>7028</v>
      </c>
      <c r="AL227" t="s">
        <v>44</v>
      </c>
      <c r="AM227">
        <v>2</v>
      </c>
      <c r="AN227">
        <v>2</v>
      </c>
      <c r="AO227">
        <v>2025</v>
      </c>
      <c r="AP227">
        <v>4</v>
      </c>
    </row>
    <row r="228" spans="1:42" x14ac:dyDescent="0.25">
      <c r="A228">
        <v>1059.25</v>
      </c>
      <c r="B228">
        <v>220688.69</v>
      </c>
      <c r="C228">
        <v>67120.070000000007</v>
      </c>
      <c r="D228">
        <v>63199.12</v>
      </c>
      <c r="E228">
        <v>59124.98</v>
      </c>
      <c r="F228">
        <v>411192.1</v>
      </c>
      <c r="G228">
        <v>33521.870000000003</v>
      </c>
      <c r="H228">
        <v>117443.69</v>
      </c>
      <c r="I228">
        <v>22444.959999999999</v>
      </c>
      <c r="J228">
        <v>173410.52</v>
      </c>
      <c r="K228">
        <v>584602.63</v>
      </c>
      <c r="L228">
        <v>259216.64000000001</v>
      </c>
      <c r="M228">
        <v>43487.519999999997</v>
      </c>
      <c r="N228">
        <v>43057.13</v>
      </c>
      <c r="O228">
        <v>2427.36</v>
      </c>
      <c r="P228">
        <v>348188.65</v>
      </c>
      <c r="Q228">
        <v>6245.57</v>
      </c>
      <c r="R228">
        <v>16549.53</v>
      </c>
      <c r="S228">
        <v>3438.37</v>
      </c>
      <c r="T228">
        <v>83519.740000000005</v>
      </c>
      <c r="U228">
        <v>8579.8799999999992</v>
      </c>
      <c r="V228">
        <v>0</v>
      </c>
      <c r="W228">
        <v>142081.31</v>
      </c>
      <c r="X228">
        <v>260414.39</v>
      </c>
      <c r="Y228">
        <v>37463.089999999997</v>
      </c>
      <c r="Z228">
        <v>112694</v>
      </c>
      <c r="AA228">
        <v>55371.32</v>
      </c>
      <c r="AB228">
        <v>2863.54</v>
      </c>
      <c r="AC228">
        <v>14891.66</v>
      </c>
      <c r="AD228">
        <v>4643.3900000000003</v>
      </c>
      <c r="AE228">
        <v>1421132.68</v>
      </c>
      <c r="AF228">
        <v>19805</v>
      </c>
      <c r="AG228" t="s">
        <v>105</v>
      </c>
      <c r="AH228" t="s">
        <v>106</v>
      </c>
      <c r="AI228" t="s">
        <v>105</v>
      </c>
      <c r="AJ228" t="s">
        <v>106</v>
      </c>
      <c r="AK228">
        <v>10050</v>
      </c>
      <c r="AL228" t="s">
        <v>50</v>
      </c>
      <c r="AM228">
        <v>3</v>
      </c>
      <c r="AN228">
        <v>3</v>
      </c>
      <c r="AO228">
        <v>2025</v>
      </c>
      <c r="AP228">
        <v>3</v>
      </c>
    </row>
    <row r="229" spans="1:42" x14ac:dyDescent="0.25">
      <c r="A229">
        <v>1091.01</v>
      </c>
      <c r="B229">
        <v>104951.33</v>
      </c>
      <c r="C229">
        <v>9821.89</v>
      </c>
      <c r="D229">
        <v>25342.52</v>
      </c>
      <c r="E229">
        <v>26224.92</v>
      </c>
      <c r="F229">
        <v>167431.67000000001</v>
      </c>
      <c r="G229">
        <v>16746.97</v>
      </c>
      <c r="H229">
        <v>45495.51</v>
      </c>
      <c r="I229">
        <v>9966.73</v>
      </c>
      <c r="J229">
        <v>72209.210000000006</v>
      </c>
      <c r="K229">
        <v>239640.88</v>
      </c>
      <c r="L229">
        <v>156275.54</v>
      </c>
      <c r="M229">
        <v>7611.04</v>
      </c>
      <c r="N229">
        <v>10975.69</v>
      </c>
      <c r="O229">
        <v>3255.22</v>
      </c>
      <c r="P229">
        <v>178117.49</v>
      </c>
      <c r="Q229">
        <v>3936.8</v>
      </c>
      <c r="R229">
        <v>924.71</v>
      </c>
      <c r="S229">
        <v>1849.15</v>
      </c>
      <c r="T229">
        <v>55504.79</v>
      </c>
      <c r="U229">
        <v>1794.12</v>
      </c>
      <c r="V229">
        <v>0</v>
      </c>
      <c r="W229">
        <v>78908.47</v>
      </c>
      <c r="X229">
        <v>142918.03</v>
      </c>
      <c r="Y229">
        <v>14975.88</v>
      </c>
      <c r="Z229">
        <v>29514.55</v>
      </c>
      <c r="AA229">
        <v>43826.85</v>
      </c>
      <c r="AB229">
        <v>4310.57</v>
      </c>
      <c r="AC229">
        <v>7503.79</v>
      </c>
      <c r="AD229">
        <v>227.17</v>
      </c>
      <c r="AE229">
        <v>661035.21</v>
      </c>
      <c r="AF229">
        <v>20409</v>
      </c>
      <c r="AG229" t="s">
        <v>95</v>
      </c>
      <c r="AH229" t="s">
        <v>96</v>
      </c>
      <c r="AI229" t="s">
        <v>95</v>
      </c>
      <c r="AJ229" t="s">
        <v>96</v>
      </c>
      <c r="AK229">
        <v>16673</v>
      </c>
      <c r="AL229" t="s">
        <v>50</v>
      </c>
      <c r="AM229">
        <v>3</v>
      </c>
      <c r="AN229">
        <v>3</v>
      </c>
      <c r="AO229">
        <v>2025</v>
      </c>
      <c r="AP229">
        <v>3</v>
      </c>
    </row>
    <row r="230" spans="1:42" x14ac:dyDescent="0.25">
      <c r="A230">
        <v>1141.25</v>
      </c>
      <c r="B230">
        <v>94755.63</v>
      </c>
      <c r="C230">
        <v>8311.8700000000008</v>
      </c>
      <c r="D230">
        <v>22381.43</v>
      </c>
      <c r="E230">
        <v>28731.09</v>
      </c>
      <c r="F230">
        <v>155321.26999999999</v>
      </c>
      <c r="G230">
        <v>15022.69</v>
      </c>
      <c r="H230">
        <v>39394.230000000003</v>
      </c>
      <c r="I230">
        <v>11789.94</v>
      </c>
      <c r="J230">
        <v>66206.850000000006</v>
      </c>
      <c r="K230">
        <v>221528.13</v>
      </c>
      <c r="L230">
        <v>133768.57</v>
      </c>
      <c r="M230">
        <v>6425.06</v>
      </c>
      <c r="N230">
        <v>9177.02</v>
      </c>
      <c r="O230">
        <v>2770</v>
      </c>
      <c r="P230">
        <v>152140.64000000001</v>
      </c>
      <c r="Q230">
        <v>3725.92</v>
      </c>
      <c r="R230">
        <v>966.58</v>
      </c>
      <c r="S230">
        <v>1708.75</v>
      </c>
      <c r="T230">
        <v>48308.7</v>
      </c>
      <c r="U230">
        <v>1593.01</v>
      </c>
      <c r="V230">
        <v>0</v>
      </c>
      <c r="W230">
        <v>71303.460000000006</v>
      </c>
      <c r="X230">
        <v>127606.42</v>
      </c>
      <c r="Y230">
        <v>12888.96</v>
      </c>
      <c r="Z230">
        <v>26324.52</v>
      </c>
      <c r="AA230">
        <v>39497.46</v>
      </c>
      <c r="AB230">
        <v>4266.8</v>
      </c>
      <c r="AC230">
        <v>5099.47</v>
      </c>
      <c r="AD230">
        <v>197.13</v>
      </c>
      <c r="AE230">
        <v>589549.53</v>
      </c>
      <c r="AF230">
        <v>20409</v>
      </c>
      <c r="AG230" t="s">
        <v>95</v>
      </c>
      <c r="AH230" t="s">
        <v>96</v>
      </c>
      <c r="AI230" t="s">
        <v>95</v>
      </c>
      <c r="AJ230" t="s">
        <v>96</v>
      </c>
      <c r="AK230">
        <v>16673</v>
      </c>
      <c r="AL230" t="s">
        <v>50</v>
      </c>
      <c r="AM230">
        <v>3</v>
      </c>
      <c r="AN230">
        <v>3</v>
      </c>
      <c r="AO230">
        <v>2025</v>
      </c>
      <c r="AP230">
        <v>2</v>
      </c>
    </row>
    <row r="231" spans="1:42" x14ac:dyDescent="0.25">
      <c r="A231">
        <v>1235.33</v>
      </c>
      <c r="B231">
        <v>17507.14</v>
      </c>
      <c r="C231">
        <v>11825.69</v>
      </c>
      <c r="D231">
        <v>2164.54</v>
      </c>
      <c r="E231">
        <v>1646.03</v>
      </c>
      <c r="F231">
        <v>34378.720000000001</v>
      </c>
      <c r="G231">
        <v>9291.74</v>
      </c>
      <c r="H231">
        <v>6318.15</v>
      </c>
      <c r="I231">
        <v>3259.4</v>
      </c>
      <c r="J231">
        <v>18869.29</v>
      </c>
      <c r="K231">
        <v>53248.01</v>
      </c>
      <c r="L231">
        <v>1286.57</v>
      </c>
      <c r="M231">
        <v>20142.8</v>
      </c>
      <c r="N231">
        <v>0</v>
      </c>
      <c r="O231">
        <v>618.27</v>
      </c>
      <c r="P231">
        <v>22047.64</v>
      </c>
      <c r="Q231">
        <v>0</v>
      </c>
      <c r="R231">
        <v>119.68</v>
      </c>
      <c r="S231">
        <v>353.97</v>
      </c>
      <c r="T231">
        <v>14312.7</v>
      </c>
      <c r="U231">
        <v>0</v>
      </c>
      <c r="V231">
        <v>0</v>
      </c>
      <c r="W231">
        <v>6477.63</v>
      </c>
      <c r="X231">
        <v>21263.97</v>
      </c>
      <c r="Y231">
        <v>119.11</v>
      </c>
      <c r="Z231">
        <v>4023.14</v>
      </c>
      <c r="AA231">
        <v>4377.46</v>
      </c>
      <c r="AB231">
        <v>0</v>
      </c>
      <c r="AC231">
        <v>0</v>
      </c>
      <c r="AD231">
        <v>0</v>
      </c>
      <c r="AE231">
        <v>105079.34</v>
      </c>
      <c r="AF231">
        <v>19874</v>
      </c>
      <c r="AG231" t="s">
        <v>85</v>
      </c>
      <c r="AH231" t="s">
        <v>86</v>
      </c>
      <c r="AI231" t="s">
        <v>85</v>
      </c>
      <c r="AJ231" t="s">
        <v>86</v>
      </c>
      <c r="AK231">
        <v>6029</v>
      </c>
      <c r="AL231" t="s">
        <v>44</v>
      </c>
      <c r="AM231">
        <v>2</v>
      </c>
      <c r="AN231">
        <v>2</v>
      </c>
      <c r="AO231">
        <v>2025</v>
      </c>
      <c r="AP231">
        <v>1</v>
      </c>
    </row>
    <row r="232" spans="1:42" x14ac:dyDescent="0.25">
      <c r="A232">
        <v>1243.03</v>
      </c>
      <c r="B232">
        <v>16017.05</v>
      </c>
      <c r="C232">
        <v>5887.3</v>
      </c>
      <c r="D232">
        <v>1313.29</v>
      </c>
      <c r="E232">
        <v>4450.78</v>
      </c>
      <c r="F232">
        <v>28911.46</v>
      </c>
      <c r="G232">
        <v>3891.91</v>
      </c>
      <c r="H232">
        <v>2930</v>
      </c>
      <c r="I232">
        <v>2433.48</v>
      </c>
      <c r="J232">
        <v>9255.39</v>
      </c>
      <c r="K232">
        <v>38166.85</v>
      </c>
      <c r="L232">
        <v>18.07</v>
      </c>
      <c r="M232">
        <v>10900.77</v>
      </c>
      <c r="N232">
        <v>0</v>
      </c>
      <c r="O232">
        <v>889.66</v>
      </c>
      <c r="P232">
        <v>11808.5</v>
      </c>
      <c r="Q232">
        <v>28.83</v>
      </c>
      <c r="R232">
        <v>1.21</v>
      </c>
      <c r="S232">
        <v>931.36</v>
      </c>
      <c r="T232">
        <v>8134.4</v>
      </c>
      <c r="U232">
        <v>0</v>
      </c>
      <c r="V232">
        <v>0</v>
      </c>
      <c r="W232">
        <v>2009.12</v>
      </c>
      <c r="X232">
        <v>11104.92</v>
      </c>
      <c r="Y232">
        <v>0</v>
      </c>
      <c r="Z232">
        <v>782.74</v>
      </c>
      <c r="AA232">
        <v>891.62</v>
      </c>
      <c r="AB232">
        <v>0</v>
      </c>
      <c r="AC232">
        <v>840.4</v>
      </c>
      <c r="AD232">
        <v>0</v>
      </c>
      <c r="AE232">
        <v>63595.02</v>
      </c>
      <c r="AF232">
        <v>20445</v>
      </c>
      <c r="AG232" t="s">
        <v>73</v>
      </c>
      <c r="AH232" t="s">
        <v>74</v>
      </c>
      <c r="AI232" t="s">
        <v>73</v>
      </c>
      <c r="AJ232" t="s">
        <v>74</v>
      </c>
      <c r="AK232">
        <v>6944</v>
      </c>
      <c r="AL232" t="s">
        <v>44</v>
      </c>
      <c r="AM232">
        <v>2</v>
      </c>
      <c r="AN232">
        <v>2</v>
      </c>
      <c r="AO232">
        <v>2025</v>
      </c>
      <c r="AP232">
        <v>1</v>
      </c>
    </row>
    <row r="233" spans="1:42" x14ac:dyDescent="0.25">
      <c r="A233">
        <v>1269.04</v>
      </c>
      <c r="B233">
        <v>98446.44</v>
      </c>
      <c r="C233">
        <v>8198.67</v>
      </c>
      <c r="D233">
        <v>22286.44</v>
      </c>
      <c r="E233">
        <v>23779.41</v>
      </c>
      <c r="F233">
        <v>153979.99</v>
      </c>
      <c r="G233">
        <v>12730.84</v>
      </c>
      <c r="H233">
        <v>39177.81</v>
      </c>
      <c r="I233">
        <v>14902.7</v>
      </c>
      <c r="J233">
        <v>66811.360000000001</v>
      </c>
      <c r="K233">
        <v>220791.35</v>
      </c>
      <c r="L233">
        <v>136584.04999999999</v>
      </c>
      <c r="M233">
        <v>6509.33</v>
      </c>
      <c r="N233">
        <v>8156.34</v>
      </c>
      <c r="O233">
        <v>2622.47</v>
      </c>
      <c r="P233">
        <v>153872.19</v>
      </c>
      <c r="Q233">
        <v>4022.46</v>
      </c>
      <c r="R233">
        <v>593.53</v>
      </c>
      <c r="S233">
        <v>1597.79</v>
      </c>
      <c r="T233">
        <v>46596.47</v>
      </c>
      <c r="U233">
        <v>1823.76</v>
      </c>
      <c r="V233">
        <v>0</v>
      </c>
      <c r="W233">
        <v>72337.289999999994</v>
      </c>
      <c r="X233">
        <v>126971.3</v>
      </c>
      <c r="Y233">
        <v>12267.9</v>
      </c>
      <c r="Z233">
        <v>25951.69</v>
      </c>
      <c r="AA233">
        <v>38456.800000000003</v>
      </c>
      <c r="AB233">
        <v>4357.8</v>
      </c>
      <c r="AC233">
        <v>6709.74</v>
      </c>
      <c r="AD233">
        <v>89.34</v>
      </c>
      <c r="AE233">
        <v>589468.11</v>
      </c>
      <c r="AF233">
        <v>20409</v>
      </c>
      <c r="AG233" t="s">
        <v>95</v>
      </c>
      <c r="AH233" t="s">
        <v>96</v>
      </c>
      <c r="AI233" t="s">
        <v>95</v>
      </c>
      <c r="AJ233" t="s">
        <v>96</v>
      </c>
      <c r="AK233">
        <v>16673</v>
      </c>
      <c r="AL233" t="s">
        <v>50</v>
      </c>
      <c r="AM233">
        <v>3</v>
      </c>
      <c r="AN233">
        <v>3</v>
      </c>
      <c r="AO233">
        <v>2025</v>
      </c>
      <c r="AP233">
        <v>1</v>
      </c>
    </row>
    <row r="234" spans="1:42" x14ac:dyDescent="0.25">
      <c r="A234">
        <v>1277.92</v>
      </c>
      <c r="B234">
        <v>19271.57</v>
      </c>
      <c r="C234">
        <v>11856.19</v>
      </c>
      <c r="D234">
        <v>2164.0100000000002</v>
      </c>
      <c r="E234">
        <v>1595.44</v>
      </c>
      <c r="F234">
        <v>36165.129999999997</v>
      </c>
      <c r="G234">
        <v>10060.370000000001</v>
      </c>
      <c r="H234">
        <v>6919.32</v>
      </c>
      <c r="I234">
        <v>2804.75</v>
      </c>
      <c r="J234">
        <v>19784.439999999999</v>
      </c>
      <c r="K234">
        <v>55949.57</v>
      </c>
      <c r="L234">
        <v>1065.05</v>
      </c>
      <c r="M234">
        <v>18020.48</v>
      </c>
      <c r="N234">
        <v>0</v>
      </c>
      <c r="O234">
        <v>564.86</v>
      </c>
      <c r="P234">
        <v>19650.39</v>
      </c>
      <c r="Q234">
        <v>0</v>
      </c>
      <c r="R234">
        <v>132.22999999999999</v>
      </c>
      <c r="S234">
        <v>361.31</v>
      </c>
      <c r="T234">
        <v>13807.17</v>
      </c>
      <c r="U234">
        <v>0</v>
      </c>
      <c r="V234">
        <v>0</v>
      </c>
      <c r="W234">
        <v>7356.71</v>
      </c>
      <c r="X234">
        <v>21657.42</v>
      </c>
      <c r="Y234">
        <v>168.77</v>
      </c>
      <c r="Z234">
        <v>3929.11</v>
      </c>
      <c r="AA234">
        <v>3763.13</v>
      </c>
      <c r="AB234">
        <v>0</v>
      </c>
      <c r="AC234">
        <v>0</v>
      </c>
      <c r="AD234">
        <v>0</v>
      </c>
      <c r="AE234">
        <v>105118.39</v>
      </c>
      <c r="AF234">
        <v>19874</v>
      </c>
      <c r="AG234" t="s">
        <v>85</v>
      </c>
      <c r="AH234" t="s">
        <v>86</v>
      </c>
      <c r="AI234" t="s">
        <v>85</v>
      </c>
      <c r="AJ234" t="s">
        <v>86</v>
      </c>
      <c r="AK234">
        <v>6029</v>
      </c>
      <c r="AL234" t="s">
        <v>44</v>
      </c>
      <c r="AM234">
        <v>2</v>
      </c>
      <c r="AN234">
        <v>2</v>
      </c>
      <c r="AO234">
        <v>2025</v>
      </c>
      <c r="AP234">
        <v>2</v>
      </c>
    </row>
    <row r="235" spans="1:42" x14ac:dyDescent="0.25">
      <c r="A235">
        <v>1305.5999999999999</v>
      </c>
      <c r="B235">
        <v>237667.38</v>
      </c>
      <c r="C235">
        <v>71388.3</v>
      </c>
      <c r="D235">
        <v>67580.13</v>
      </c>
      <c r="E235">
        <v>67613.37</v>
      </c>
      <c r="F235">
        <v>445554.77</v>
      </c>
      <c r="G235">
        <v>37193.56</v>
      </c>
      <c r="H235">
        <v>120781.55</v>
      </c>
      <c r="I235">
        <v>28863.29</v>
      </c>
      <c r="J235">
        <v>186838.39999999999</v>
      </c>
      <c r="K235">
        <v>632393.17000000004</v>
      </c>
      <c r="L235">
        <v>274025.26</v>
      </c>
      <c r="M235">
        <v>39994.04</v>
      </c>
      <c r="N235">
        <v>46458.28</v>
      </c>
      <c r="O235">
        <v>3353.06</v>
      </c>
      <c r="P235">
        <v>363830.62</v>
      </c>
      <c r="Q235">
        <v>6076.12</v>
      </c>
      <c r="R235">
        <v>15946.75</v>
      </c>
      <c r="S235">
        <v>4301.6000000000004</v>
      </c>
      <c r="T235">
        <v>85908.29</v>
      </c>
      <c r="U235">
        <v>12993.91</v>
      </c>
      <c r="V235">
        <v>0</v>
      </c>
      <c r="W235">
        <v>154687.23000000001</v>
      </c>
      <c r="X235">
        <v>279913.89</v>
      </c>
      <c r="Y235">
        <v>40029.699999999997</v>
      </c>
      <c r="Z235">
        <v>122574.65</v>
      </c>
      <c r="AA235">
        <v>61437.94</v>
      </c>
      <c r="AB235">
        <v>3126.6</v>
      </c>
      <c r="AC235">
        <v>23002.59</v>
      </c>
      <c r="AD235">
        <v>5738.9</v>
      </c>
      <c r="AE235">
        <v>1532048.06</v>
      </c>
      <c r="AF235">
        <v>19805</v>
      </c>
      <c r="AG235" t="s">
        <v>105</v>
      </c>
      <c r="AH235" t="s">
        <v>106</v>
      </c>
      <c r="AI235" t="s">
        <v>105</v>
      </c>
      <c r="AJ235" t="s">
        <v>106</v>
      </c>
      <c r="AK235">
        <v>10050</v>
      </c>
      <c r="AL235" t="s">
        <v>50</v>
      </c>
      <c r="AM235">
        <v>3</v>
      </c>
      <c r="AN235">
        <v>3</v>
      </c>
      <c r="AO235">
        <v>2025</v>
      </c>
      <c r="AP235">
        <v>2</v>
      </c>
    </row>
    <row r="236" spans="1:42" x14ac:dyDescent="0.25">
      <c r="A236">
        <v>1316.89</v>
      </c>
      <c r="B236">
        <v>22030.11</v>
      </c>
      <c r="C236">
        <v>2361.6</v>
      </c>
      <c r="D236">
        <v>337.6</v>
      </c>
      <c r="E236">
        <v>1904.24</v>
      </c>
      <c r="F236">
        <v>27950.44</v>
      </c>
      <c r="G236">
        <v>1090.83</v>
      </c>
      <c r="H236">
        <v>7011.12</v>
      </c>
      <c r="I236">
        <v>2153.11</v>
      </c>
      <c r="J236">
        <v>10255.06</v>
      </c>
      <c r="K236">
        <v>38205.5</v>
      </c>
      <c r="L236">
        <v>27090.58</v>
      </c>
      <c r="M236">
        <v>3865.75</v>
      </c>
      <c r="N236">
        <v>607.12</v>
      </c>
      <c r="O236">
        <v>400.63</v>
      </c>
      <c r="P236">
        <v>31964.080000000002</v>
      </c>
      <c r="Q236">
        <v>1119.3699999999999</v>
      </c>
      <c r="R236">
        <v>1184.3599999999999</v>
      </c>
      <c r="S236">
        <v>604.80999999999995</v>
      </c>
      <c r="T236">
        <v>1314.01</v>
      </c>
      <c r="U236">
        <v>0</v>
      </c>
      <c r="V236">
        <v>0</v>
      </c>
      <c r="W236">
        <v>24942.880000000001</v>
      </c>
      <c r="X236">
        <v>29165.43</v>
      </c>
      <c r="Y236">
        <v>3454.84</v>
      </c>
      <c r="Z236">
        <v>14632.08</v>
      </c>
      <c r="AA236">
        <v>4549.16</v>
      </c>
      <c r="AB236">
        <v>1990.97</v>
      </c>
      <c r="AC236">
        <v>1249.3699999999999</v>
      </c>
      <c r="AD236">
        <v>0</v>
      </c>
      <c r="AE236">
        <v>125211.42</v>
      </c>
      <c r="AF236">
        <v>20416</v>
      </c>
      <c r="AG236" t="s">
        <v>128</v>
      </c>
      <c r="AH236" t="s">
        <v>129</v>
      </c>
      <c r="AI236" t="s">
        <v>128</v>
      </c>
      <c r="AJ236" t="s">
        <v>129</v>
      </c>
      <c r="AK236">
        <v>16831</v>
      </c>
      <c r="AL236" t="s">
        <v>50</v>
      </c>
      <c r="AM236">
        <v>3</v>
      </c>
      <c r="AN236">
        <v>3</v>
      </c>
      <c r="AO236">
        <v>2025</v>
      </c>
      <c r="AP236">
        <v>2</v>
      </c>
    </row>
    <row r="237" spans="1:42" x14ac:dyDescent="0.25">
      <c r="A237">
        <v>1351.15</v>
      </c>
      <c r="B237">
        <v>19823.689999999999</v>
      </c>
      <c r="C237">
        <v>12450.39</v>
      </c>
      <c r="D237">
        <v>2178.33</v>
      </c>
      <c r="E237">
        <v>1714.75</v>
      </c>
      <c r="F237">
        <v>37518.32</v>
      </c>
      <c r="G237">
        <v>9693.25</v>
      </c>
      <c r="H237">
        <v>6145.39</v>
      </c>
      <c r="I237">
        <v>2625.03</v>
      </c>
      <c r="J237">
        <v>18463.669999999998</v>
      </c>
      <c r="K237">
        <v>55981.99</v>
      </c>
      <c r="L237">
        <v>1436.91</v>
      </c>
      <c r="M237">
        <v>18822.669999999998</v>
      </c>
      <c r="N237">
        <v>0</v>
      </c>
      <c r="O237">
        <v>908.02</v>
      </c>
      <c r="P237">
        <v>21167.59</v>
      </c>
      <c r="Q237">
        <v>0</v>
      </c>
      <c r="R237">
        <v>101.64</v>
      </c>
      <c r="S237">
        <v>309.75</v>
      </c>
      <c r="T237">
        <v>15142.12</v>
      </c>
      <c r="U237">
        <v>0</v>
      </c>
      <c r="V237">
        <v>0</v>
      </c>
      <c r="W237">
        <v>6636.27</v>
      </c>
      <c r="X237">
        <v>22189.77</v>
      </c>
      <c r="Y237">
        <v>161</v>
      </c>
      <c r="Z237">
        <v>4435.12</v>
      </c>
      <c r="AA237">
        <v>3996.52</v>
      </c>
      <c r="AB237">
        <v>0</v>
      </c>
      <c r="AC237">
        <v>0</v>
      </c>
      <c r="AD237">
        <v>0</v>
      </c>
      <c r="AE237">
        <v>107931.99</v>
      </c>
      <c r="AF237">
        <v>19874</v>
      </c>
      <c r="AG237" t="s">
        <v>85</v>
      </c>
      <c r="AH237" t="s">
        <v>86</v>
      </c>
      <c r="AI237" t="s">
        <v>85</v>
      </c>
      <c r="AJ237" t="s">
        <v>86</v>
      </c>
      <c r="AK237">
        <v>6029</v>
      </c>
      <c r="AL237" t="s">
        <v>44</v>
      </c>
      <c r="AM237">
        <v>2</v>
      </c>
      <c r="AN237">
        <v>2</v>
      </c>
      <c r="AO237">
        <v>2025</v>
      </c>
      <c r="AP237">
        <v>3</v>
      </c>
    </row>
    <row r="238" spans="1:42" x14ac:dyDescent="0.25">
      <c r="A238">
        <v>1381.04</v>
      </c>
      <c r="B238">
        <v>20372.849999999999</v>
      </c>
      <c r="C238">
        <v>13272.56</v>
      </c>
      <c r="D238">
        <v>1941.6</v>
      </c>
      <c r="E238">
        <v>1657.68</v>
      </c>
      <c r="F238">
        <v>38625.730000000003</v>
      </c>
      <c r="G238">
        <v>9907.75</v>
      </c>
      <c r="H238">
        <v>6792.73</v>
      </c>
      <c r="I238">
        <v>2124.64</v>
      </c>
      <c r="J238">
        <v>18825.12</v>
      </c>
      <c r="K238">
        <v>57450.84</v>
      </c>
      <c r="L238">
        <v>763.83</v>
      </c>
      <c r="M238">
        <v>17032.98</v>
      </c>
      <c r="N238">
        <v>0</v>
      </c>
      <c r="O238">
        <v>545.5</v>
      </c>
      <c r="P238">
        <v>18342.310000000001</v>
      </c>
      <c r="Q238">
        <v>0</v>
      </c>
      <c r="R238">
        <v>113.89</v>
      </c>
      <c r="S238">
        <v>339.98</v>
      </c>
      <c r="T238">
        <v>14069.51</v>
      </c>
      <c r="U238">
        <v>0</v>
      </c>
      <c r="V238">
        <v>0</v>
      </c>
      <c r="W238">
        <v>7147.09</v>
      </c>
      <c r="X238">
        <v>21670.47</v>
      </c>
      <c r="Y238">
        <v>183.27</v>
      </c>
      <c r="Z238">
        <v>4757.72</v>
      </c>
      <c r="AA238">
        <v>4053.69</v>
      </c>
      <c r="AB238">
        <v>0</v>
      </c>
      <c r="AC238">
        <v>0</v>
      </c>
      <c r="AD238">
        <v>0</v>
      </c>
      <c r="AE238">
        <v>106458.31</v>
      </c>
      <c r="AF238">
        <v>19874</v>
      </c>
      <c r="AG238" t="s">
        <v>85</v>
      </c>
      <c r="AH238" t="s">
        <v>86</v>
      </c>
      <c r="AI238" t="s">
        <v>85</v>
      </c>
      <c r="AJ238" t="s">
        <v>86</v>
      </c>
      <c r="AK238">
        <v>6029</v>
      </c>
      <c r="AL238" t="s">
        <v>44</v>
      </c>
      <c r="AM238">
        <v>2</v>
      </c>
      <c r="AN238">
        <v>2</v>
      </c>
      <c r="AO238">
        <v>2025</v>
      </c>
      <c r="AP238">
        <v>4</v>
      </c>
    </row>
    <row r="239" spans="1:42" x14ac:dyDescent="0.25">
      <c r="A239">
        <v>1438.39</v>
      </c>
      <c r="B239">
        <v>24114.7</v>
      </c>
      <c r="C239">
        <v>2762.77</v>
      </c>
      <c r="D239">
        <v>384.88</v>
      </c>
      <c r="E239">
        <v>2183.48</v>
      </c>
      <c r="F239">
        <v>30884.23</v>
      </c>
      <c r="G239">
        <v>1122.8800000000001</v>
      </c>
      <c r="H239">
        <v>7598.94</v>
      </c>
      <c r="I239">
        <v>2721.64</v>
      </c>
      <c r="J239">
        <v>11443.46</v>
      </c>
      <c r="K239">
        <v>42327.69</v>
      </c>
      <c r="L239">
        <v>30879.09</v>
      </c>
      <c r="M239">
        <v>4797.3999999999996</v>
      </c>
      <c r="N239">
        <v>688.01</v>
      </c>
      <c r="O239">
        <v>446.41</v>
      </c>
      <c r="P239">
        <v>36810.910000000003</v>
      </c>
      <c r="Q239">
        <v>1446.6</v>
      </c>
      <c r="R239">
        <v>1305.99</v>
      </c>
      <c r="S239">
        <v>587.95000000000005</v>
      </c>
      <c r="T239">
        <v>1785.69</v>
      </c>
      <c r="U239">
        <v>0</v>
      </c>
      <c r="V239">
        <v>0</v>
      </c>
      <c r="W239">
        <v>28745.47</v>
      </c>
      <c r="X239">
        <v>33871.69</v>
      </c>
      <c r="Y239">
        <v>3858.58</v>
      </c>
      <c r="Z239">
        <v>16617.419999999998</v>
      </c>
      <c r="AA239">
        <v>4611.05</v>
      </c>
      <c r="AB239">
        <v>2698.38</v>
      </c>
      <c r="AC239">
        <v>2375.25</v>
      </c>
      <c r="AD239">
        <v>0</v>
      </c>
      <c r="AE239">
        <v>143170.96</v>
      </c>
      <c r="AF239">
        <v>20416</v>
      </c>
      <c r="AG239" t="s">
        <v>128</v>
      </c>
      <c r="AH239" t="s">
        <v>129</v>
      </c>
      <c r="AI239" t="s">
        <v>128</v>
      </c>
      <c r="AJ239" t="s">
        <v>129</v>
      </c>
      <c r="AK239">
        <v>16831</v>
      </c>
      <c r="AL239" t="s">
        <v>50</v>
      </c>
      <c r="AM239">
        <v>3</v>
      </c>
      <c r="AN239">
        <v>3</v>
      </c>
      <c r="AO239">
        <v>2025</v>
      </c>
      <c r="AP239">
        <v>1</v>
      </c>
    </row>
    <row r="240" spans="1:42" x14ac:dyDescent="0.25">
      <c r="A240">
        <v>1461.34</v>
      </c>
      <c r="B240">
        <v>308260.43</v>
      </c>
      <c r="C240">
        <v>96723.42</v>
      </c>
      <c r="D240">
        <v>92232.34</v>
      </c>
      <c r="E240">
        <v>90697.37</v>
      </c>
      <c r="F240">
        <v>589374.9</v>
      </c>
      <c r="G240">
        <v>49667.35</v>
      </c>
      <c r="H240">
        <v>158906.4</v>
      </c>
      <c r="I240">
        <v>46223.6</v>
      </c>
      <c r="J240">
        <v>254797.36</v>
      </c>
      <c r="K240">
        <v>844172.26</v>
      </c>
      <c r="L240">
        <v>370957.16</v>
      </c>
      <c r="M240">
        <v>64140.98</v>
      </c>
      <c r="N240">
        <v>56025.55</v>
      </c>
      <c r="O240">
        <v>11001.08</v>
      </c>
      <c r="P240">
        <v>502124.77</v>
      </c>
      <c r="Q240">
        <v>7692.58</v>
      </c>
      <c r="R240">
        <v>21513.33</v>
      </c>
      <c r="S240">
        <v>2769.05</v>
      </c>
      <c r="T240">
        <v>109388.75</v>
      </c>
      <c r="U240">
        <v>12783.21</v>
      </c>
      <c r="V240">
        <v>0</v>
      </c>
      <c r="W240">
        <v>197149.99</v>
      </c>
      <c r="X240">
        <v>351296.91</v>
      </c>
      <c r="Y240">
        <v>48846.58</v>
      </c>
      <c r="Z240">
        <v>162545.06</v>
      </c>
      <c r="AA240">
        <v>82643.070000000007</v>
      </c>
      <c r="AB240">
        <v>5132.51</v>
      </c>
      <c r="AC240">
        <v>38453.4</v>
      </c>
      <c r="AD240">
        <v>6563.01</v>
      </c>
      <c r="AE240">
        <v>2041777.56</v>
      </c>
      <c r="AF240">
        <v>19805</v>
      </c>
      <c r="AG240" t="s">
        <v>105</v>
      </c>
      <c r="AH240" t="s">
        <v>106</v>
      </c>
      <c r="AI240" t="s">
        <v>105</v>
      </c>
      <c r="AJ240" t="s">
        <v>106</v>
      </c>
      <c r="AK240">
        <v>10050</v>
      </c>
      <c r="AL240" t="s">
        <v>50</v>
      </c>
      <c r="AM240">
        <v>3</v>
      </c>
      <c r="AN240">
        <v>3</v>
      </c>
      <c r="AO240">
        <v>2025</v>
      </c>
      <c r="AP240">
        <v>1</v>
      </c>
    </row>
    <row r="241" spans="1:42" x14ac:dyDescent="0.25">
      <c r="A241">
        <v>1527.97</v>
      </c>
      <c r="B241">
        <v>16879.3</v>
      </c>
      <c r="C241">
        <v>6171.26</v>
      </c>
      <c r="D241">
        <v>1398.38</v>
      </c>
      <c r="E241">
        <v>4568.45</v>
      </c>
      <c r="F241">
        <v>30545.360000000001</v>
      </c>
      <c r="G241">
        <v>4552.92</v>
      </c>
      <c r="H241">
        <v>2106.33</v>
      </c>
      <c r="I241">
        <v>2231.65</v>
      </c>
      <c r="J241">
        <v>8890.9</v>
      </c>
      <c r="K241">
        <v>39436.26</v>
      </c>
      <c r="L241">
        <v>45.33</v>
      </c>
      <c r="M241">
        <v>12686.92</v>
      </c>
      <c r="N241">
        <v>0</v>
      </c>
      <c r="O241">
        <v>990.09</v>
      </c>
      <c r="P241">
        <v>13722.35</v>
      </c>
      <c r="Q241">
        <v>38.39</v>
      </c>
      <c r="R241">
        <v>1.6</v>
      </c>
      <c r="S241">
        <v>946.15</v>
      </c>
      <c r="T241">
        <v>9727.75</v>
      </c>
      <c r="U241">
        <v>0</v>
      </c>
      <c r="V241">
        <v>0</v>
      </c>
      <c r="W241">
        <v>2100.85</v>
      </c>
      <c r="X241">
        <v>12814.74</v>
      </c>
      <c r="Y241">
        <v>2.7</v>
      </c>
      <c r="Z241">
        <v>583.15</v>
      </c>
      <c r="AA241">
        <v>985.79</v>
      </c>
      <c r="AB241">
        <v>0</v>
      </c>
      <c r="AC241">
        <v>902.63</v>
      </c>
      <c r="AD241">
        <v>0</v>
      </c>
      <c r="AE241">
        <v>68447.61</v>
      </c>
      <c r="AF241">
        <v>20445</v>
      </c>
      <c r="AG241" t="s">
        <v>73</v>
      </c>
      <c r="AH241" t="s">
        <v>74</v>
      </c>
      <c r="AI241" t="s">
        <v>73</v>
      </c>
      <c r="AJ241" t="s">
        <v>74</v>
      </c>
      <c r="AK241">
        <v>6944</v>
      </c>
      <c r="AL241" t="s">
        <v>44</v>
      </c>
      <c r="AM241">
        <v>2</v>
      </c>
      <c r="AN241">
        <v>2</v>
      </c>
      <c r="AO241">
        <v>2025</v>
      </c>
      <c r="AP241">
        <v>2</v>
      </c>
    </row>
    <row r="242" spans="1:42" x14ac:dyDescent="0.25">
      <c r="A242">
        <v>1561.18</v>
      </c>
      <c r="B242">
        <v>273972.33</v>
      </c>
      <c r="C242">
        <v>81681.53</v>
      </c>
      <c r="D242">
        <v>76790.17</v>
      </c>
      <c r="E242">
        <v>67982.25</v>
      </c>
      <c r="F242">
        <v>501987.47</v>
      </c>
      <c r="G242">
        <v>43406.5</v>
      </c>
      <c r="H242">
        <v>145479.20000000001</v>
      </c>
      <c r="I242">
        <v>28665.74</v>
      </c>
      <c r="J242">
        <v>217551.44</v>
      </c>
      <c r="K242">
        <v>719538.91</v>
      </c>
      <c r="L242">
        <v>364715.7</v>
      </c>
      <c r="M242">
        <v>48618.64</v>
      </c>
      <c r="N242">
        <v>51159.78</v>
      </c>
      <c r="O242">
        <v>5884.27</v>
      </c>
      <c r="P242">
        <v>470378.39</v>
      </c>
      <c r="Q242">
        <v>9265.1</v>
      </c>
      <c r="R242">
        <v>19504.28</v>
      </c>
      <c r="S242">
        <v>3480.51</v>
      </c>
      <c r="T242">
        <v>98055.49</v>
      </c>
      <c r="U242">
        <v>14533.11</v>
      </c>
      <c r="V242">
        <v>0</v>
      </c>
      <c r="W242">
        <v>170776.14</v>
      </c>
      <c r="X242">
        <v>315614.63</v>
      </c>
      <c r="Y242">
        <v>45465.05</v>
      </c>
      <c r="Z242">
        <v>131087.01999999999</v>
      </c>
      <c r="AA242">
        <v>67024.3</v>
      </c>
      <c r="AB242">
        <v>3665.91</v>
      </c>
      <c r="AC242">
        <v>29474.42</v>
      </c>
      <c r="AD242">
        <v>6657.54</v>
      </c>
      <c r="AE242">
        <v>1788906.16</v>
      </c>
      <c r="AF242">
        <v>19805</v>
      </c>
      <c r="AG242" t="s">
        <v>105</v>
      </c>
      <c r="AH242" t="s">
        <v>106</v>
      </c>
      <c r="AI242" t="s">
        <v>105</v>
      </c>
      <c r="AJ242" t="s">
        <v>106</v>
      </c>
      <c r="AK242">
        <v>10049</v>
      </c>
      <c r="AL242" t="s">
        <v>53</v>
      </c>
      <c r="AM242">
        <v>3</v>
      </c>
      <c r="AN242">
        <v>3</v>
      </c>
      <c r="AO242">
        <v>2025</v>
      </c>
      <c r="AP242">
        <v>4</v>
      </c>
    </row>
    <row r="243" spans="1:42" x14ac:dyDescent="0.25">
      <c r="A243">
        <v>1575.91</v>
      </c>
      <c r="B243">
        <v>15945.46</v>
      </c>
      <c r="C243">
        <v>5033.47</v>
      </c>
      <c r="D243">
        <v>1454.77</v>
      </c>
      <c r="E243">
        <v>4364.8900000000003</v>
      </c>
      <c r="F243">
        <v>28374.48</v>
      </c>
      <c r="G243">
        <v>4298.04</v>
      </c>
      <c r="H243">
        <v>2988.25</v>
      </c>
      <c r="I243">
        <v>1756.24</v>
      </c>
      <c r="J243">
        <v>9042.5300000000007</v>
      </c>
      <c r="K243">
        <v>37417.01</v>
      </c>
      <c r="L243">
        <v>89.66</v>
      </c>
      <c r="M243">
        <v>14254.34</v>
      </c>
      <c r="N243">
        <v>0.16</v>
      </c>
      <c r="O243">
        <v>865.14</v>
      </c>
      <c r="P243">
        <v>15209.29</v>
      </c>
      <c r="Q243">
        <v>40.28</v>
      </c>
      <c r="R243">
        <v>2.0699999999999998</v>
      </c>
      <c r="S243">
        <v>930.02</v>
      </c>
      <c r="T243">
        <v>9572.0300000000007</v>
      </c>
      <c r="U243">
        <v>0</v>
      </c>
      <c r="V243">
        <v>0</v>
      </c>
      <c r="W243">
        <v>2011.1</v>
      </c>
      <c r="X243">
        <v>12555.5</v>
      </c>
      <c r="Y243">
        <v>4.82</v>
      </c>
      <c r="Z243">
        <v>611.82000000000005</v>
      </c>
      <c r="AA243">
        <v>1016.57</v>
      </c>
      <c r="AB243">
        <v>0</v>
      </c>
      <c r="AC243">
        <v>629.53</v>
      </c>
      <c r="AD243">
        <v>0</v>
      </c>
      <c r="AE243">
        <v>67444.53</v>
      </c>
      <c r="AF243">
        <v>20445</v>
      </c>
      <c r="AG243" t="s">
        <v>73</v>
      </c>
      <c r="AH243" t="s">
        <v>74</v>
      </c>
      <c r="AI243" t="s">
        <v>73</v>
      </c>
      <c r="AJ243" t="s">
        <v>74</v>
      </c>
      <c r="AK243">
        <v>6944</v>
      </c>
      <c r="AL243" t="s">
        <v>44</v>
      </c>
      <c r="AM243">
        <v>2</v>
      </c>
      <c r="AN243">
        <v>2</v>
      </c>
      <c r="AO243">
        <v>2025</v>
      </c>
      <c r="AP243">
        <v>3</v>
      </c>
    </row>
    <row r="244" spans="1:42" x14ac:dyDescent="0.25">
      <c r="A244">
        <v>1637.76</v>
      </c>
      <c r="B244">
        <v>290721.71999999997</v>
      </c>
      <c r="C244">
        <v>86235.49</v>
      </c>
      <c r="D244">
        <v>81464.77</v>
      </c>
      <c r="E244">
        <v>69765.16</v>
      </c>
      <c r="F244">
        <v>529824.89</v>
      </c>
      <c r="G244">
        <v>45951.040000000001</v>
      </c>
      <c r="H244">
        <v>152689.41</v>
      </c>
      <c r="I244">
        <v>31842.959999999999</v>
      </c>
      <c r="J244">
        <v>230483.4</v>
      </c>
      <c r="K244">
        <v>760308.29</v>
      </c>
      <c r="L244">
        <v>318864.24</v>
      </c>
      <c r="M244">
        <v>51536.58</v>
      </c>
      <c r="N244">
        <v>53441.93</v>
      </c>
      <c r="O244">
        <v>6319.99</v>
      </c>
      <c r="P244">
        <v>430162.74</v>
      </c>
      <c r="Q244">
        <v>9669.8700000000008</v>
      </c>
      <c r="R244">
        <v>20701.330000000002</v>
      </c>
      <c r="S244">
        <v>3585.47</v>
      </c>
      <c r="T244">
        <v>100936.65</v>
      </c>
      <c r="U244">
        <v>15377.31</v>
      </c>
      <c r="V244">
        <v>0</v>
      </c>
      <c r="W244">
        <v>179126.62</v>
      </c>
      <c r="X244">
        <v>329397.25</v>
      </c>
      <c r="Y244">
        <v>47264.55</v>
      </c>
      <c r="Z244">
        <v>134718.49</v>
      </c>
      <c r="AA244">
        <v>70655.929999999993</v>
      </c>
      <c r="AB244">
        <v>3896.25</v>
      </c>
      <c r="AC244">
        <v>31910.13</v>
      </c>
      <c r="AD244">
        <v>7347.72</v>
      </c>
      <c r="AE244">
        <v>1815661.34</v>
      </c>
      <c r="AF244">
        <v>19805</v>
      </c>
      <c r="AG244" t="s">
        <v>105</v>
      </c>
      <c r="AH244" t="s">
        <v>106</v>
      </c>
      <c r="AI244" t="s">
        <v>105</v>
      </c>
      <c r="AJ244" t="s">
        <v>106</v>
      </c>
      <c r="AK244">
        <v>10050</v>
      </c>
      <c r="AL244" t="s">
        <v>50</v>
      </c>
      <c r="AM244">
        <v>3</v>
      </c>
      <c r="AN244">
        <v>3</v>
      </c>
      <c r="AO244">
        <v>2025</v>
      </c>
      <c r="AP244">
        <v>4</v>
      </c>
    </row>
    <row r="245" spans="1:42" x14ac:dyDescent="0.25">
      <c r="A245">
        <v>1707.31</v>
      </c>
      <c r="B245">
        <v>4749.2</v>
      </c>
      <c r="C245">
        <v>770.7</v>
      </c>
      <c r="D245">
        <v>4983.08</v>
      </c>
      <c r="E245">
        <v>852.17</v>
      </c>
      <c r="F245">
        <v>13062.44</v>
      </c>
      <c r="G245">
        <v>1433.56</v>
      </c>
      <c r="H245">
        <v>1406.15</v>
      </c>
      <c r="I245">
        <v>1128.79</v>
      </c>
      <c r="J245">
        <v>3968.5</v>
      </c>
      <c r="K245">
        <v>17030.939999999999</v>
      </c>
      <c r="L245">
        <v>0</v>
      </c>
      <c r="M245">
        <v>887.19</v>
      </c>
      <c r="N245">
        <v>0</v>
      </c>
      <c r="O245">
        <v>213.42</v>
      </c>
      <c r="P245">
        <v>1100.5999999999999</v>
      </c>
      <c r="Q245">
        <v>28.6</v>
      </c>
      <c r="R245">
        <v>15.28</v>
      </c>
      <c r="S245">
        <v>62.02</v>
      </c>
      <c r="T245">
        <v>3105.01</v>
      </c>
      <c r="U245">
        <v>0</v>
      </c>
      <c r="V245">
        <v>0</v>
      </c>
      <c r="W245">
        <v>585.02</v>
      </c>
      <c r="X245">
        <v>3795.92</v>
      </c>
      <c r="Y245">
        <v>0</v>
      </c>
      <c r="Z245">
        <v>2800.58</v>
      </c>
      <c r="AA245">
        <v>171.52</v>
      </c>
      <c r="AB245">
        <v>0</v>
      </c>
      <c r="AC245">
        <v>70.88</v>
      </c>
      <c r="AD245">
        <v>0.28999999999999998</v>
      </c>
      <c r="AE245">
        <v>24970.73</v>
      </c>
      <c r="AF245">
        <v>20398</v>
      </c>
      <c r="AG245" t="s">
        <v>130</v>
      </c>
      <c r="AH245" t="s">
        <v>131</v>
      </c>
      <c r="AI245" t="s">
        <v>130</v>
      </c>
      <c r="AJ245" t="s">
        <v>131</v>
      </c>
      <c r="AK245">
        <v>16820</v>
      </c>
      <c r="AL245" t="s">
        <v>50</v>
      </c>
      <c r="AM245">
        <v>3</v>
      </c>
      <c r="AN245">
        <v>3</v>
      </c>
      <c r="AO245">
        <v>2025</v>
      </c>
      <c r="AP245">
        <v>1</v>
      </c>
    </row>
    <row r="246" spans="1:42" x14ac:dyDescent="0.25">
      <c r="A246">
        <v>1725.14</v>
      </c>
      <c r="B246">
        <v>34184.559999999998</v>
      </c>
      <c r="C246">
        <v>4658.74</v>
      </c>
      <c r="D246">
        <v>2000.33</v>
      </c>
      <c r="E246">
        <v>16365.34</v>
      </c>
      <c r="F246">
        <v>58934.1</v>
      </c>
      <c r="G246">
        <v>7262.38</v>
      </c>
      <c r="H246">
        <v>5527.97</v>
      </c>
      <c r="I246">
        <v>3650.12</v>
      </c>
      <c r="J246">
        <v>16440.46</v>
      </c>
      <c r="K246">
        <v>75374.559999999998</v>
      </c>
      <c r="L246">
        <v>56534.65</v>
      </c>
      <c r="M246">
        <v>426.85</v>
      </c>
      <c r="N246">
        <v>1599.13</v>
      </c>
      <c r="O246">
        <v>301.52999999999997</v>
      </c>
      <c r="P246">
        <v>58862.15</v>
      </c>
      <c r="Q246">
        <v>24304</v>
      </c>
      <c r="R246">
        <v>617.91</v>
      </c>
      <c r="S246">
        <v>1340.55</v>
      </c>
      <c r="T246">
        <v>1904.04</v>
      </c>
      <c r="U246">
        <v>0</v>
      </c>
      <c r="V246">
        <v>0</v>
      </c>
      <c r="W246">
        <v>712.05</v>
      </c>
      <c r="X246">
        <v>28878.55</v>
      </c>
      <c r="Y246">
        <v>4779.26</v>
      </c>
      <c r="Z246">
        <v>38193.19</v>
      </c>
      <c r="AA246">
        <v>3732.8</v>
      </c>
      <c r="AB246">
        <v>0</v>
      </c>
      <c r="AC246">
        <v>19073.990000000002</v>
      </c>
      <c r="AD246">
        <v>0</v>
      </c>
      <c r="AE246">
        <v>228894.51</v>
      </c>
      <c r="AF246">
        <v>22080</v>
      </c>
      <c r="AG246" t="s">
        <v>132</v>
      </c>
      <c r="AH246" t="s">
        <v>133</v>
      </c>
      <c r="AI246" t="s">
        <v>132</v>
      </c>
      <c r="AJ246" t="s">
        <v>133</v>
      </c>
      <c r="AK246">
        <v>1268</v>
      </c>
      <c r="AL246" t="s">
        <v>44</v>
      </c>
      <c r="AM246">
        <v>2</v>
      </c>
      <c r="AN246">
        <v>2</v>
      </c>
      <c r="AO246">
        <v>2025</v>
      </c>
      <c r="AP246">
        <v>1</v>
      </c>
    </row>
    <row r="247" spans="1:42" x14ac:dyDescent="0.25">
      <c r="A247">
        <v>1727.89</v>
      </c>
      <c r="B247">
        <v>28994.75</v>
      </c>
      <c r="C247">
        <v>3311.88</v>
      </c>
      <c r="D247">
        <v>429.21</v>
      </c>
      <c r="E247">
        <v>2507.3000000000002</v>
      </c>
      <c r="F247">
        <v>36971.03</v>
      </c>
      <c r="G247">
        <v>1206.9100000000001</v>
      </c>
      <c r="H247">
        <v>8549.49</v>
      </c>
      <c r="I247">
        <v>1848.22</v>
      </c>
      <c r="J247">
        <v>11604.61</v>
      </c>
      <c r="K247">
        <v>48575.64</v>
      </c>
      <c r="L247">
        <v>30869.91</v>
      </c>
      <c r="M247">
        <v>5478.24</v>
      </c>
      <c r="N247">
        <v>550.08000000000004</v>
      </c>
      <c r="O247">
        <v>339.8</v>
      </c>
      <c r="P247">
        <v>37238.03</v>
      </c>
      <c r="Q247">
        <v>325.76</v>
      </c>
      <c r="R247">
        <v>1324.05</v>
      </c>
      <c r="S247">
        <v>762.68</v>
      </c>
      <c r="T247">
        <v>1462.11</v>
      </c>
      <c r="U247">
        <v>0</v>
      </c>
      <c r="V247">
        <v>0</v>
      </c>
      <c r="W247">
        <v>30097.95</v>
      </c>
      <c r="X247">
        <v>33972.54</v>
      </c>
      <c r="Y247">
        <v>4236.08</v>
      </c>
      <c r="Z247">
        <v>15506.33</v>
      </c>
      <c r="AA247">
        <v>6214.97</v>
      </c>
      <c r="AB247">
        <v>2502.04</v>
      </c>
      <c r="AC247">
        <v>-2303.0500000000002</v>
      </c>
      <c r="AD247">
        <v>0</v>
      </c>
      <c r="AE247">
        <v>145942.57999999999</v>
      </c>
      <c r="AF247">
        <v>20416</v>
      </c>
      <c r="AG247" t="s">
        <v>128</v>
      </c>
      <c r="AH247" t="s">
        <v>129</v>
      </c>
      <c r="AI247" t="s">
        <v>128</v>
      </c>
      <c r="AJ247" t="s">
        <v>129</v>
      </c>
      <c r="AK247">
        <v>16831</v>
      </c>
      <c r="AL247" t="s">
        <v>50</v>
      </c>
      <c r="AM247">
        <v>3</v>
      </c>
      <c r="AN247">
        <v>3</v>
      </c>
      <c r="AO247">
        <v>2025</v>
      </c>
      <c r="AP247">
        <v>4</v>
      </c>
    </row>
    <row r="248" spans="1:42" x14ac:dyDescent="0.25">
      <c r="A248">
        <v>1815.92</v>
      </c>
      <c r="B248">
        <v>26649.22</v>
      </c>
      <c r="C248">
        <v>2974.32</v>
      </c>
      <c r="D248">
        <v>425.38</v>
      </c>
      <c r="E248">
        <v>3383.85</v>
      </c>
      <c r="F248">
        <v>35248.69</v>
      </c>
      <c r="G248">
        <v>1287.33</v>
      </c>
      <c r="H248">
        <v>8763.1200000000008</v>
      </c>
      <c r="I248">
        <v>2089.77</v>
      </c>
      <c r="J248">
        <v>12140.22</v>
      </c>
      <c r="K248">
        <v>47388.91</v>
      </c>
      <c r="L248">
        <v>32676.74</v>
      </c>
      <c r="M248">
        <v>5138.2299999999996</v>
      </c>
      <c r="N248">
        <v>552.15</v>
      </c>
      <c r="O248">
        <v>631.86</v>
      </c>
      <c r="P248">
        <v>38998.980000000003</v>
      </c>
      <c r="Q248">
        <v>1483.3</v>
      </c>
      <c r="R248">
        <v>1284.44</v>
      </c>
      <c r="S248">
        <v>713.23</v>
      </c>
      <c r="T248">
        <v>2032.6</v>
      </c>
      <c r="U248">
        <v>0</v>
      </c>
      <c r="V248">
        <v>0</v>
      </c>
      <c r="W248">
        <v>31052.28</v>
      </c>
      <c r="X248">
        <v>36565.85</v>
      </c>
      <c r="Y248">
        <v>4245.22</v>
      </c>
      <c r="Z248">
        <v>19874.22</v>
      </c>
      <c r="AA248">
        <v>5258.15</v>
      </c>
      <c r="AB248">
        <v>2227.9899999999998</v>
      </c>
      <c r="AC248">
        <v>-13505.71</v>
      </c>
      <c r="AD248">
        <v>0</v>
      </c>
      <c r="AE248">
        <v>141053.60999999999</v>
      </c>
      <c r="AF248">
        <v>20416</v>
      </c>
      <c r="AG248" t="s">
        <v>128</v>
      </c>
      <c r="AH248" t="s">
        <v>129</v>
      </c>
      <c r="AI248" t="s">
        <v>128</v>
      </c>
      <c r="AJ248" t="s">
        <v>129</v>
      </c>
      <c r="AK248">
        <v>16831</v>
      </c>
      <c r="AL248" t="s">
        <v>50</v>
      </c>
      <c r="AM248">
        <v>3</v>
      </c>
      <c r="AN248">
        <v>3</v>
      </c>
      <c r="AO248">
        <v>2025</v>
      </c>
      <c r="AP248">
        <v>3</v>
      </c>
    </row>
    <row r="249" spans="1:42" x14ac:dyDescent="0.25">
      <c r="A249">
        <v>1847.79</v>
      </c>
      <c r="B249">
        <v>386764.14</v>
      </c>
      <c r="C249">
        <v>117895.2</v>
      </c>
      <c r="D249">
        <v>110773.46</v>
      </c>
      <c r="E249">
        <v>103114.52</v>
      </c>
      <c r="F249">
        <v>720395.12</v>
      </c>
      <c r="G249">
        <v>58844.3</v>
      </c>
      <c r="H249">
        <v>206753.36</v>
      </c>
      <c r="I249">
        <v>39398.92</v>
      </c>
      <c r="J249">
        <v>304996.58</v>
      </c>
      <c r="K249">
        <v>1025391.7</v>
      </c>
      <c r="L249">
        <v>526799.88</v>
      </c>
      <c r="M249">
        <v>76088.13</v>
      </c>
      <c r="N249">
        <v>75288.62</v>
      </c>
      <c r="O249">
        <v>4219.95</v>
      </c>
      <c r="P249">
        <v>682396.57</v>
      </c>
      <c r="Q249">
        <v>11213.73</v>
      </c>
      <c r="R249">
        <v>29156.400000000001</v>
      </c>
      <c r="S249">
        <v>5848.66</v>
      </c>
      <c r="T249">
        <v>146896.6</v>
      </c>
      <c r="U249">
        <v>13952.7</v>
      </c>
      <c r="V249">
        <v>0</v>
      </c>
      <c r="W249">
        <v>249820.69</v>
      </c>
      <c r="X249">
        <v>456888.77</v>
      </c>
      <c r="Y249">
        <v>65569.679999999993</v>
      </c>
      <c r="Z249">
        <v>198288.08</v>
      </c>
      <c r="AA249">
        <v>97539.199999999997</v>
      </c>
      <c r="AB249">
        <v>5033.08</v>
      </c>
      <c r="AC249">
        <v>24923.599999999999</v>
      </c>
      <c r="AD249">
        <v>7864.62</v>
      </c>
      <c r="AE249">
        <v>2563895.2999999998</v>
      </c>
      <c r="AF249">
        <v>19805</v>
      </c>
      <c r="AG249" t="s">
        <v>105</v>
      </c>
      <c r="AH249" t="s">
        <v>106</v>
      </c>
      <c r="AI249" t="s">
        <v>105</v>
      </c>
      <c r="AJ249" t="s">
        <v>106</v>
      </c>
      <c r="AK249">
        <v>10049</v>
      </c>
      <c r="AL249" t="s">
        <v>53</v>
      </c>
      <c r="AM249">
        <v>3</v>
      </c>
      <c r="AN249">
        <v>3</v>
      </c>
      <c r="AO249">
        <v>2025</v>
      </c>
      <c r="AP249">
        <v>3</v>
      </c>
    </row>
    <row r="250" spans="1:42" x14ac:dyDescent="0.25">
      <c r="A250">
        <v>1870.2</v>
      </c>
      <c r="B250">
        <v>340161.27</v>
      </c>
      <c r="C250">
        <v>102074.75</v>
      </c>
      <c r="D250">
        <v>96750.71</v>
      </c>
      <c r="E250">
        <v>96912.91</v>
      </c>
      <c r="F250">
        <v>637769.82999999996</v>
      </c>
      <c r="G250">
        <v>53170.15</v>
      </c>
      <c r="H250">
        <v>172802.32</v>
      </c>
      <c r="I250">
        <v>41210.83</v>
      </c>
      <c r="J250">
        <v>267183.3</v>
      </c>
      <c r="K250">
        <v>904953.14</v>
      </c>
      <c r="L250">
        <v>455276.41</v>
      </c>
      <c r="M250">
        <v>57368.480000000003</v>
      </c>
      <c r="N250">
        <v>66539.789999999994</v>
      </c>
      <c r="O250">
        <v>4747.49</v>
      </c>
      <c r="P250">
        <v>583932.18000000005</v>
      </c>
      <c r="Q250">
        <v>8593.69</v>
      </c>
      <c r="R250">
        <v>22776.65</v>
      </c>
      <c r="S250">
        <v>6245.3</v>
      </c>
      <c r="T250">
        <v>123085.47</v>
      </c>
      <c r="U250">
        <v>18577.080000000002</v>
      </c>
      <c r="V250">
        <v>0</v>
      </c>
      <c r="W250">
        <v>221661.06</v>
      </c>
      <c r="X250">
        <v>400939.24</v>
      </c>
      <c r="Y250">
        <v>57319.9</v>
      </c>
      <c r="Z250">
        <v>175431.86</v>
      </c>
      <c r="AA250">
        <v>87883.27</v>
      </c>
      <c r="AB250">
        <v>4483.3500000000004</v>
      </c>
      <c r="AC250">
        <v>33334.699999999997</v>
      </c>
      <c r="AD250">
        <v>8202.91</v>
      </c>
      <c r="AE250">
        <v>2256480.5499999998</v>
      </c>
      <c r="AF250">
        <v>19805</v>
      </c>
      <c r="AG250" t="s">
        <v>105</v>
      </c>
      <c r="AH250" t="s">
        <v>106</v>
      </c>
      <c r="AI250" t="s">
        <v>105</v>
      </c>
      <c r="AJ250" t="s">
        <v>106</v>
      </c>
      <c r="AK250">
        <v>10049</v>
      </c>
      <c r="AL250" t="s">
        <v>53</v>
      </c>
      <c r="AM250">
        <v>3</v>
      </c>
      <c r="AN250">
        <v>3</v>
      </c>
      <c r="AO250">
        <v>2025</v>
      </c>
      <c r="AP250">
        <v>2</v>
      </c>
    </row>
    <row r="251" spans="1:42" x14ac:dyDescent="0.25">
      <c r="A251">
        <v>1896.97</v>
      </c>
      <c r="B251">
        <v>22593.91</v>
      </c>
      <c r="C251">
        <v>6323.98</v>
      </c>
      <c r="D251">
        <v>80.459999999999994</v>
      </c>
      <c r="E251">
        <v>0</v>
      </c>
      <c r="F251">
        <v>30895.31</v>
      </c>
      <c r="G251">
        <v>2971.58</v>
      </c>
      <c r="H251">
        <v>2822.61</v>
      </c>
      <c r="I251">
        <v>2371.25</v>
      </c>
      <c r="J251">
        <v>8165.43</v>
      </c>
      <c r="K251">
        <v>39060.74</v>
      </c>
      <c r="L251">
        <v>-148.25</v>
      </c>
      <c r="M251">
        <v>1086.8599999999999</v>
      </c>
      <c r="N251">
        <v>0</v>
      </c>
      <c r="O251">
        <v>0</v>
      </c>
      <c r="P251">
        <v>938.61</v>
      </c>
      <c r="Q251">
        <v>0</v>
      </c>
      <c r="R251">
        <v>0</v>
      </c>
      <c r="S251">
        <v>1115.75</v>
      </c>
      <c r="T251">
        <v>0</v>
      </c>
      <c r="U251">
        <v>0</v>
      </c>
      <c r="V251">
        <v>0</v>
      </c>
      <c r="W251">
        <v>0</v>
      </c>
      <c r="X251">
        <v>1115.75</v>
      </c>
      <c r="Y251">
        <v>0</v>
      </c>
      <c r="Z251">
        <v>3138.73</v>
      </c>
      <c r="AA251">
        <v>5821.2</v>
      </c>
      <c r="AB251">
        <v>0</v>
      </c>
      <c r="AC251">
        <v>36560.339999999997</v>
      </c>
      <c r="AD251">
        <v>0</v>
      </c>
      <c r="AE251">
        <v>86635.37</v>
      </c>
      <c r="AF251">
        <v>20378</v>
      </c>
      <c r="AG251" t="s">
        <v>67</v>
      </c>
      <c r="AH251" t="s">
        <v>68</v>
      </c>
      <c r="AI251" t="s">
        <v>67</v>
      </c>
      <c r="AJ251" t="s">
        <v>68</v>
      </c>
      <c r="AK251">
        <v>6689</v>
      </c>
      <c r="AL251" t="s">
        <v>44</v>
      </c>
      <c r="AM251">
        <v>2</v>
      </c>
      <c r="AN251">
        <v>2</v>
      </c>
      <c r="AO251">
        <v>2025</v>
      </c>
      <c r="AP251">
        <v>1</v>
      </c>
    </row>
    <row r="252" spans="1:42" x14ac:dyDescent="0.25">
      <c r="A252">
        <v>2046</v>
      </c>
      <c r="B252">
        <v>121649</v>
      </c>
      <c r="C252">
        <v>12887</v>
      </c>
      <c r="D252">
        <v>34454</v>
      </c>
      <c r="E252">
        <v>48301</v>
      </c>
      <c r="F252">
        <v>219337</v>
      </c>
      <c r="G252">
        <v>15033</v>
      </c>
      <c r="H252">
        <v>45196</v>
      </c>
      <c r="I252">
        <v>10676</v>
      </c>
      <c r="J252">
        <v>70905</v>
      </c>
      <c r="K252">
        <v>290242</v>
      </c>
      <c r="L252">
        <v>164233</v>
      </c>
      <c r="M252">
        <v>11867</v>
      </c>
      <c r="N252">
        <v>23483</v>
      </c>
      <c r="O252">
        <v>5011</v>
      </c>
      <c r="P252">
        <v>204594</v>
      </c>
      <c r="Q252">
        <v>5637</v>
      </c>
      <c r="R252">
        <v>6462</v>
      </c>
      <c r="S252">
        <v>1159</v>
      </c>
      <c r="T252">
        <v>19537</v>
      </c>
      <c r="U252">
        <v>6921</v>
      </c>
      <c r="V252">
        <v>184</v>
      </c>
      <c r="W252">
        <v>78703</v>
      </c>
      <c r="X252">
        <v>118603</v>
      </c>
      <c r="Y252">
        <v>16763</v>
      </c>
      <c r="Z252">
        <v>38515</v>
      </c>
      <c r="AA252">
        <v>22539</v>
      </c>
      <c r="AB252">
        <v>4262</v>
      </c>
      <c r="AC252">
        <v>7678</v>
      </c>
      <c r="AD252">
        <v>16015</v>
      </c>
      <c r="AE252">
        <v>719211</v>
      </c>
      <c r="AF252">
        <v>19790</v>
      </c>
      <c r="AG252" t="s">
        <v>134</v>
      </c>
      <c r="AH252" t="s">
        <v>135</v>
      </c>
      <c r="AI252" t="s">
        <v>134</v>
      </c>
      <c r="AJ252" t="s">
        <v>135</v>
      </c>
      <c r="AK252">
        <v>10262</v>
      </c>
      <c r="AL252" t="s">
        <v>64</v>
      </c>
      <c r="AM252">
        <v>3</v>
      </c>
      <c r="AN252">
        <v>3</v>
      </c>
      <c r="AO252">
        <v>2025</v>
      </c>
      <c r="AP252">
        <v>3</v>
      </c>
    </row>
    <row r="253" spans="1:42" x14ac:dyDescent="0.25">
      <c r="A253">
        <v>2086</v>
      </c>
      <c r="B253">
        <v>108373</v>
      </c>
      <c r="C253">
        <v>15309</v>
      </c>
      <c r="D253">
        <v>35135</v>
      </c>
      <c r="E253">
        <v>49671</v>
      </c>
      <c r="F253">
        <v>210574</v>
      </c>
      <c r="G253">
        <v>17161</v>
      </c>
      <c r="H253">
        <v>52249</v>
      </c>
      <c r="I253">
        <v>11853</v>
      </c>
      <c r="J253">
        <v>81263</v>
      </c>
      <c r="K253">
        <v>291837</v>
      </c>
      <c r="L253">
        <v>137144</v>
      </c>
      <c r="M253">
        <v>15819</v>
      </c>
      <c r="N253">
        <v>23947</v>
      </c>
      <c r="O253">
        <v>5110</v>
      </c>
      <c r="P253">
        <v>182020</v>
      </c>
      <c r="Q253">
        <v>5748</v>
      </c>
      <c r="R253">
        <v>6589</v>
      </c>
      <c r="S253">
        <v>1487</v>
      </c>
      <c r="T253">
        <v>26953</v>
      </c>
      <c r="U253">
        <v>7058</v>
      </c>
      <c r="V253">
        <v>188</v>
      </c>
      <c r="W253">
        <v>86127</v>
      </c>
      <c r="X253">
        <v>134150</v>
      </c>
      <c r="Y253">
        <v>17094</v>
      </c>
      <c r="Z253">
        <v>41475</v>
      </c>
      <c r="AA253">
        <v>31424</v>
      </c>
      <c r="AB253">
        <v>5939</v>
      </c>
      <c r="AC253">
        <v>7877</v>
      </c>
      <c r="AD253">
        <v>40086</v>
      </c>
      <c r="AE253">
        <v>751902</v>
      </c>
      <c r="AF253">
        <v>19790</v>
      </c>
      <c r="AG253" t="s">
        <v>134</v>
      </c>
      <c r="AH253" t="s">
        <v>135</v>
      </c>
      <c r="AI253" t="s">
        <v>134</v>
      </c>
      <c r="AJ253" t="s">
        <v>135</v>
      </c>
      <c r="AK253">
        <v>10260</v>
      </c>
      <c r="AL253" t="s">
        <v>50</v>
      </c>
      <c r="AM253">
        <v>3</v>
      </c>
      <c r="AN253">
        <v>3</v>
      </c>
      <c r="AO253">
        <v>2025</v>
      </c>
      <c r="AP253">
        <v>3</v>
      </c>
    </row>
    <row r="254" spans="1:42" x14ac:dyDescent="0.25">
      <c r="A254">
        <v>2126</v>
      </c>
      <c r="B254">
        <v>116426</v>
      </c>
      <c r="C254">
        <v>12546</v>
      </c>
      <c r="D254">
        <v>34609</v>
      </c>
      <c r="E254">
        <v>56852</v>
      </c>
      <c r="F254">
        <v>222559</v>
      </c>
      <c r="G254">
        <v>15222</v>
      </c>
      <c r="H254">
        <v>46168</v>
      </c>
      <c r="I254">
        <v>11064</v>
      </c>
      <c r="J254">
        <v>72454</v>
      </c>
      <c r="K254">
        <v>295013</v>
      </c>
      <c r="L254">
        <v>152763</v>
      </c>
      <c r="M254">
        <v>8726</v>
      </c>
      <c r="N254">
        <v>23851</v>
      </c>
      <c r="O254">
        <v>5547</v>
      </c>
      <c r="P254">
        <v>190887</v>
      </c>
      <c r="Q254">
        <v>6092</v>
      </c>
      <c r="R254">
        <v>6526</v>
      </c>
      <c r="S254">
        <v>1410</v>
      </c>
      <c r="T254">
        <v>18914</v>
      </c>
      <c r="U254">
        <v>8306</v>
      </c>
      <c r="V254">
        <v>260</v>
      </c>
      <c r="W254">
        <v>81443</v>
      </c>
      <c r="X254">
        <v>122951</v>
      </c>
      <c r="Y254">
        <v>16504</v>
      </c>
      <c r="Z254">
        <v>38582</v>
      </c>
      <c r="AA254">
        <v>21535</v>
      </c>
      <c r="AB254">
        <v>3927</v>
      </c>
      <c r="AC254">
        <v>8257</v>
      </c>
      <c r="AD254">
        <v>15249</v>
      </c>
      <c r="AE254">
        <v>712905</v>
      </c>
      <c r="AF254">
        <v>19790</v>
      </c>
      <c r="AG254" t="s">
        <v>134</v>
      </c>
      <c r="AH254" t="s">
        <v>135</v>
      </c>
      <c r="AI254" t="s">
        <v>134</v>
      </c>
      <c r="AJ254" t="s">
        <v>135</v>
      </c>
      <c r="AK254">
        <v>10262</v>
      </c>
      <c r="AL254" t="s">
        <v>64</v>
      </c>
      <c r="AM254">
        <v>3</v>
      </c>
      <c r="AN254">
        <v>3</v>
      </c>
      <c r="AO254">
        <v>2025</v>
      </c>
      <c r="AP254">
        <v>2</v>
      </c>
    </row>
    <row r="255" spans="1:42" x14ac:dyDescent="0.25">
      <c r="A255">
        <v>2143.41</v>
      </c>
      <c r="B255">
        <v>3253.5</v>
      </c>
      <c r="C255">
        <v>548.97</v>
      </c>
      <c r="D255">
        <v>1851.9</v>
      </c>
      <c r="E255">
        <v>471.07</v>
      </c>
      <c r="F255">
        <v>8268.86</v>
      </c>
      <c r="G255">
        <v>137.41</v>
      </c>
      <c r="H255">
        <v>674.15</v>
      </c>
      <c r="I255">
        <v>646.89</v>
      </c>
      <c r="J255">
        <v>1458.45</v>
      </c>
      <c r="K255">
        <v>9727.31</v>
      </c>
      <c r="L255">
        <v>2484.42</v>
      </c>
      <c r="M255">
        <v>487.17</v>
      </c>
      <c r="N255">
        <v>18.55</v>
      </c>
      <c r="O255">
        <v>0</v>
      </c>
      <c r="P255">
        <v>2990.13</v>
      </c>
      <c r="Q255">
        <v>888.43</v>
      </c>
      <c r="R255">
        <v>121.86</v>
      </c>
      <c r="S255">
        <v>361.54</v>
      </c>
      <c r="T255">
        <v>154.9</v>
      </c>
      <c r="U255">
        <v>321.35000000000002</v>
      </c>
      <c r="V255">
        <v>0</v>
      </c>
      <c r="W255">
        <v>361.03</v>
      </c>
      <c r="X255">
        <v>2209.11</v>
      </c>
      <c r="Y255">
        <v>553.69000000000005</v>
      </c>
      <c r="Z255">
        <v>1026.08</v>
      </c>
      <c r="AA255">
        <v>256.36</v>
      </c>
      <c r="AB255">
        <v>106.05</v>
      </c>
      <c r="AC255">
        <v>1730.75</v>
      </c>
      <c r="AD255">
        <v>0</v>
      </c>
      <c r="AE255">
        <v>18599.47</v>
      </c>
      <c r="AF255">
        <v>20401</v>
      </c>
      <c r="AG255" t="s">
        <v>79</v>
      </c>
      <c r="AH255" t="s">
        <v>80</v>
      </c>
      <c r="AI255" t="s">
        <v>79</v>
      </c>
      <c r="AJ255" t="s">
        <v>80</v>
      </c>
      <c r="AK255">
        <v>6888</v>
      </c>
      <c r="AL255" t="s">
        <v>44</v>
      </c>
      <c r="AM255">
        <v>2</v>
      </c>
      <c r="AN255">
        <v>2</v>
      </c>
      <c r="AO255">
        <v>2025</v>
      </c>
      <c r="AP255">
        <v>1</v>
      </c>
    </row>
    <row r="256" spans="1:42" x14ac:dyDescent="0.25">
      <c r="A256">
        <v>2301</v>
      </c>
      <c r="B256">
        <v>141510</v>
      </c>
      <c r="C256">
        <v>14834</v>
      </c>
      <c r="D256">
        <v>38976</v>
      </c>
      <c r="E256">
        <v>52590</v>
      </c>
      <c r="F256">
        <v>250211</v>
      </c>
      <c r="G256">
        <v>16373</v>
      </c>
      <c r="H256">
        <v>58784</v>
      </c>
      <c r="I256">
        <v>12186</v>
      </c>
      <c r="J256">
        <v>87343</v>
      </c>
      <c r="K256">
        <v>337554</v>
      </c>
      <c r="L256">
        <v>175794</v>
      </c>
      <c r="M256">
        <v>11713</v>
      </c>
      <c r="N256">
        <v>25065</v>
      </c>
      <c r="O256">
        <v>7323</v>
      </c>
      <c r="P256">
        <v>219895</v>
      </c>
      <c r="Q256">
        <v>6411</v>
      </c>
      <c r="R256">
        <v>6012</v>
      </c>
      <c r="S256">
        <v>1305</v>
      </c>
      <c r="T256">
        <v>17535</v>
      </c>
      <c r="U256">
        <v>7636</v>
      </c>
      <c r="V256">
        <v>81</v>
      </c>
      <c r="W256">
        <v>90509</v>
      </c>
      <c r="X256">
        <v>129489</v>
      </c>
      <c r="Y256">
        <v>18500</v>
      </c>
      <c r="Z256">
        <v>44204</v>
      </c>
      <c r="AA256">
        <v>25903</v>
      </c>
      <c r="AB256">
        <v>5056</v>
      </c>
      <c r="AC256">
        <v>7868</v>
      </c>
      <c r="AD256">
        <v>18598</v>
      </c>
      <c r="AE256">
        <v>807067</v>
      </c>
      <c r="AF256">
        <v>19790</v>
      </c>
      <c r="AG256" t="s">
        <v>134</v>
      </c>
      <c r="AH256" t="s">
        <v>135</v>
      </c>
      <c r="AI256" t="s">
        <v>134</v>
      </c>
      <c r="AJ256" t="s">
        <v>135</v>
      </c>
      <c r="AK256">
        <v>10262</v>
      </c>
      <c r="AL256" t="s">
        <v>64</v>
      </c>
      <c r="AM256">
        <v>3</v>
      </c>
      <c r="AN256">
        <v>3</v>
      </c>
      <c r="AO256">
        <v>2025</v>
      </c>
      <c r="AP256">
        <v>4</v>
      </c>
    </row>
    <row r="257" spans="1:42" x14ac:dyDescent="0.25">
      <c r="A257">
        <v>2329.13</v>
      </c>
      <c r="B257">
        <v>33693.949999999997</v>
      </c>
      <c r="C257">
        <v>8057.07</v>
      </c>
      <c r="D257">
        <v>59295.37</v>
      </c>
      <c r="E257">
        <v>14539.16</v>
      </c>
      <c r="F257">
        <v>117914.67</v>
      </c>
      <c r="G257">
        <v>8504.2900000000009</v>
      </c>
      <c r="H257">
        <v>20309.61</v>
      </c>
      <c r="I257">
        <v>10336.16</v>
      </c>
      <c r="J257">
        <v>39150.06</v>
      </c>
      <c r="K257">
        <v>157064.72</v>
      </c>
      <c r="L257">
        <v>94.56</v>
      </c>
      <c r="M257">
        <v>5854.43</v>
      </c>
      <c r="N257">
        <v>32.6</v>
      </c>
      <c r="O257">
        <v>2441.06</v>
      </c>
      <c r="P257">
        <v>8422.66</v>
      </c>
      <c r="Q257">
        <v>0</v>
      </c>
      <c r="R257">
        <v>87.12</v>
      </c>
      <c r="S257">
        <v>287.64</v>
      </c>
      <c r="T257">
        <v>19353.349999999999</v>
      </c>
      <c r="U257">
        <v>0</v>
      </c>
      <c r="V257">
        <v>0</v>
      </c>
      <c r="W257">
        <v>8173.01</v>
      </c>
      <c r="X257">
        <v>27901.119999999999</v>
      </c>
      <c r="Y257">
        <v>0</v>
      </c>
      <c r="Z257">
        <v>15903.31</v>
      </c>
      <c r="AA257">
        <v>3773.97</v>
      </c>
      <c r="AB257">
        <v>0</v>
      </c>
      <c r="AC257">
        <v>438.94</v>
      </c>
      <c r="AD257">
        <v>0</v>
      </c>
      <c r="AE257">
        <v>213504.72</v>
      </c>
      <c r="AF257">
        <v>20427</v>
      </c>
      <c r="AG257" t="s">
        <v>116</v>
      </c>
      <c r="AH257" t="s">
        <v>117</v>
      </c>
      <c r="AI257" t="s">
        <v>116</v>
      </c>
      <c r="AJ257" t="s">
        <v>117</v>
      </c>
      <c r="AK257">
        <v>6918</v>
      </c>
      <c r="AL257" t="s">
        <v>44</v>
      </c>
      <c r="AM257">
        <v>2</v>
      </c>
      <c r="AN257">
        <v>2</v>
      </c>
      <c r="AO257">
        <v>2025</v>
      </c>
      <c r="AP257">
        <v>1</v>
      </c>
    </row>
    <row r="258" spans="1:42" x14ac:dyDescent="0.25">
      <c r="A258">
        <v>2331.14</v>
      </c>
      <c r="B258">
        <v>99730.06</v>
      </c>
      <c r="C258">
        <v>25194.78</v>
      </c>
      <c r="D258">
        <v>3421.37</v>
      </c>
      <c r="E258">
        <v>21451.119999999999</v>
      </c>
      <c r="F258">
        <v>152128.47</v>
      </c>
      <c r="G258">
        <v>13101.31</v>
      </c>
      <c r="H258">
        <v>53987.68</v>
      </c>
      <c r="I258">
        <v>13460.92</v>
      </c>
      <c r="J258">
        <v>80549.91</v>
      </c>
      <c r="K258">
        <v>232678.38</v>
      </c>
      <c r="L258">
        <v>166320.93</v>
      </c>
      <c r="M258">
        <v>22614.62</v>
      </c>
      <c r="N258">
        <v>3405.72</v>
      </c>
      <c r="O258">
        <v>10353.58</v>
      </c>
      <c r="P258">
        <v>202694.85</v>
      </c>
      <c r="Q258">
        <v>7736.69</v>
      </c>
      <c r="R258">
        <v>3887.13</v>
      </c>
      <c r="S258">
        <v>1739.81</v>
      </c>
      <c r="T258">
        <v>9823.7999999999993</v>
      </c>
      <c r="U258">
        <v>0</v>
      </c>
      <c r="V258">
        <v>0</v>
      </c>
      <c r="W258">
        <v>31088.65</v>
      </c>
      <c r="X258">
        <v>54276.07</v>
      </c>
      <c r="Y258">
        <v>21949</v>
      </c>
      <c r="Z258">
        <v>14528.5</v>
      </c>
      <c r="AA258">
        <v>54877.4</v>
      </c>
      <c r="AB258">
        <v>4613.07</v>
      </c>
      <c r="AC258">
        <v>21579.25</v>
      </c>
      <c r="AD258">
        <v>0</v>
      </c>
      <c r="AE258">
        <v>607196.52</v>
      </c>
      <c r="AF258">
        <v>20368</v>
      </c>
      <c r="AG258" t="s">
        <v>136</v>
      </c>
      <c r="AH258" t="s">
        <v>137</v>
      </c>
      <c r="AI258" t="s">
        <v>136</v>
      </c>
      <c r="AJ258" t="s">
        <v>137</v>
      </c>
      <c r="AK258">
        <v>6035</v>
      </c>
      <c r="AL258" t="s">
        <v>44</v>
      </c>
      <c r="AM258">
        <v>3</v>
      </c>
      <c r="AN258">
        <v>3</v>
      </c>
      <c r="AO258">
        <v>2025</v>
      </c>
      <c r="AP258">
        <v>1</v>
      </c>
    </row>
    <row r="259" spans="1:42" x14ac:dyDescent="0.25">
      <c r="A259">
        <v>2332.62</v>
      </c>
      <c r="B259">
        <v>44282.94</v>
      </c>
      <c r="C259">
        <v>37808.57</v>
      </c>
      <c r="D259">
        <v>7038.91</v>
      </c>
      <c r="F259">
        <v>91463.039999999994</v>
      </c>
      <c r="G259">
        <v>22878.23</v>
      </c>
      <c r="H259">
        <v>14868.04</v>
      </c>
      <c r="I259">
        <v>7113.34</v>
      </c>
      <c r="J259">
        <v>44859.6</v>
      </c>
      <c r="K259">
        <v>136322.64000000001</v>
      </c>
      <c r="L259">
        <v>107002.18</v>
      </c>
      <c r="M259">
        <v>20020.490000000002</v>
      </c>
      <c r="O259">
        <v>168.23</v>
      </c>
      <c r="P259">
        <v>127190.9</v>
      </c>
      <c r="Q259">
        <v>2202.83</v>
      </c>
      <c r="R259">
        <v>1395.39</v>
      </c>
      <c r="S259">
        <v>1567.09</v>
      </c>
      <c r="T259">
        <v>39231.040000000001</v>
      </c>
      <c r="V259">
        <v>8345.1</v>
      </c>
      <c r="W259">
        <v>29045.279999999999</v>
      </c>
      <c r="X259">
        <v>81786.73</v>
      </c>
      <c r="Y259">
        <v>4548.84</v>
      </c>
      <c r="Z259">
        <v>11727.91</v>
      </c>
      <c r="AA259">
        <v>20818.02</v>
      </c>
      <c r="AD259">
        <v>51146.83</v>
      </c>
      <c r="AE259">
        <v>433541.87</v>
      </c>
      <c r="AF259">
        <v>20370</v>
      </c>
      <c r="AG259" t="s">
        <v>81</v>
      </c>
      <c r="AH259" t="s">
        <v>82</v>
      </c>
      <c r="AI259" t="s">
        <v>81</v>
      </c>
      <c r="AJ259" t="s">
        <v>82</v>
      </c>
      <c r="AK259">
        <v>16683</v>
      </c>
      <c r="AL259" t="s">
        <v>47</v>
      </c>
      <c r="AM259">
        <v>3</v>
      </c>
      <c r="AN259">
        <v>3</v>
      </c>
      <c r="AO259">
        <v>2025</v>
      </c>
      <c r="AP259">
        <v>1</v>
      </c>
    </row>
    <row r="260" spans="1:42" x14ac:dyDescent="0.25">
      <c r="A260">
        <v>2386.17</v>
      </c>
      <c r="B260">
        <v>34988.519999999997</v>
      </c>
      <c r="C260">
        <v>5702.48</v>
      </c>
      <c r="D260">
        <v>2379.4</v>
      </c>
      <c r="E260">
        <v>8600.24</v>
      </c>
      <c r="F260">
        <v>54056.800000000003</v>
      </c>
      <c r="G260">
        <v>7912.52</v>
      </c>
      <c r="H260">
        <v>7632.05</v>
      </c>
      <c r="I260">
        <v>3425.85</v>
      </c>
      <c r="J260">
        <v>18970.419999999998</v>
      </c>
      <c r="K260">
        <v>73027.210000000006</v>
      </c>
      <c r="L260">
        <v>70970.34</v>
      </c>
      <c r="M260">
        <v>142.85</v>
      </c>
      <c r="N260">
        <v>3657.05</v>
      </c>
      <c r="O260">
        <v>353.74</v>
      </c>
      <c r="P260">
        <v>75123.97</v>
      </c>
      <c r="Q260">
        <v>27364.31</v>
      </c>
      <c r="R260">
        <v>670.35</v>
      </c>
      <c r="S260">
        <v>1468.12</v>
      </c>
      <c r="T260">
        <v>4372.8999999999996</v>
      </c>
      <c r="U260">
        <v>0</v>
      </c>
      <c r="V260">
        <v>0</v>
      </c>
      <c r="W260">
        <v>1203.24</v>
      </c>
      <c r="X260">
        <v>35078.92</v>
      </c>
      <c r="Y260">
        <v>7453.21</v>
      </c>
      <c r="Z260">
        <v>52901.77</v>
      </c>
      <c r="AA260">
        <v>8089.25</v>
      </c>
      <c r="AB260">
        <v>0</v>
      </c>
      <c r="AC260">
        <v>30345.19</v>
      </c>
      <c r="AD260">
        <v>0</v>
      </c>
      <c r="AE260">
        <v>282019.52</v>
      </c>
      <c r="AF260">
        <v>22080</v>
      </c>
      <c r="AG260" t="s">
        <v>132</v>
      </c>
      <c r="AH260" t="s">
        <v>133</v>
      </c>
      <c r="AI260" t="s">
        <v>132</v>
      </c>
      <c r="AJ260" t="s">
        <v>133</v>
      </c>
      <c r="AK260">
        <v>1268</v>
      </c>
      <c r="AL260" t="s">
        <v>44</v>
      </c>
      <c r="AM260">
        <v>2</v>
      </c>
      <c r="AN260">
        <v>2</v>
      </c>
      <c r="AO260">
        <v>2025</v>
      </c>
      <c r="AP260">
        <v>4</v>
      </c>
    </row>
    <row r="261" spans="1:42" x14ac:dyDescent="0.25">
      <c r="A261">
        <v>2390</v>
      </c>
      <c r="B261">
        <v>130332</v>
      </c>
      <c r="C261">
        <v>13802</v>
      </c>
      <c r="D261">
        <v>37415</v>
      </c>
      <c r="E261">
        <v>40308</v>
      </c>
      <c r="F261">
        <v>224247</v>
      </c>
      <c r="G261">
        <v>16183</v>
      </c>
      <c r="H261">
        <v>48800</v>
      </c>
      <c r="I261">
        <v>11999</v>
      </c>
      <c r="J261">
        <v>76982</v>
      </c>
      <c r="K261">
        <v>301229</v>
      </c>
      <c r="L261">
        <v>180662</v>
      </c>
      <c r="M261">
        <v>13818</v>
      </c>
      <c r="N261">
        <v>24647</v>
      </c>
      <c r="O261">
        <v>8351</v>
      </c>
      <c r="P261">
        <v>227478</v>
      </c>
      <c r="Q261">
        <v>5558</v>
      </c>
      <c r="R261">
        <v>5479</v>
      </c>
      <c r="S261">
        <v>1625</v>
      </c>
      <c r="T261">
        <v>23080</v>
      </c>
      <c r="U261">
        <v>7863</v>
      </c>
      <c r="V261">
        <v>286</v>
      </c>
      <c r="W261">
        <v>86878</v>
      </c>
      <c r="X261">
        <v>130769</v>
      </c>
      <c r="Y261">
        <v>16441</v>
      </c>
      <c r="Z261">
        <v>44703</v>
      </c>
      <c r="AA261">
        <v>26413</v>
      </c>
      <c r="AB261">
        <v>4997</v>
      </c>
      <c r="AC261">
        <v>8488</v>
      </c>
      <c r="AD261">
        <v>16370</v>
      </c>
      <c r="AE261">
        <v>776888</v>
      </c>
      <c r="AF261">
        <v>19790</v>
      </c>
      <c r="AG261" t="s">
        <v>134</v>
      </c>
      <c r="AH261" t="s">
        <v>135</v>
      </c>
      <c r="AI261" t="s">
        <v>134</v>
      </c>
      <c r="AJ261" t="s">
        <v>135</v>
      </c>
      <c r="AK261">
        <v>10262</v>
      </c>
      <c r="AL261" t="s">
        <v>64</v>
      </c>
      <c r="AM261">
        <v>3</v>
      </c>
      <c r="AN261">
        <v>3</v>
      </c>
      <c r="AO261">
        <v>2025</v>
      </c>
      <c r="AP261">
        <v>1</v>
      </c>
    </row>
    <row r="262" spans="1:42" x14ac:dyDescent="0.25">
      <c r="A262">
        <v>2401.2399999999998</v>
      </c>
      <c r="B262">
        <v>22061.62</v>
      </c>
      <c r="C262">
        <v>5608.66</v>
      </c>
      <c r="D262">
        <v>74.14</v>
      </c>
      <c r="E262">
        <v>0</v>
      </c>
      <c r="F262">
        <v>30145.67</v>
      </c>
      <c r="G262">
        <v>2929.06</v>
      </c>
      <c r="H262">
        <v>1637.68</v>
      </c>
      <c r="I262">
        <v>2086.13</v>
      </c>
      <c r="J262">
        <v>6652.87</v>
      </c>
      <c r="K262">
        <v>36798.54</v>
      </c>
      <c r="L262">
        <v>111.36</v>
      </c>
      <c r="M262">
        <v>1157.17</v>
      </c>
      <c r="N262">
        <v>0</v>
      </c>
      <c r="O262">
        <v>0</v>
      </c>
      <c r="P262">
        <v>1268.53</v>
      </c>
      <c r="Q262">
        <v>0</v>
      </c>
      <c r="R262">
        <v>0</v>
      </c>
      <c r="S262">
        <v>1139.5899999999999</v>
      </c>
      <c r="T262">
        <v>0</v>
      </c>
      <c r="U262">
        <v>0</v>
      </c>
      <c r="V262">
        <v>0</v>
      </c>
      <c r="W262">
        <v>0</v>
      </c>
      <c r="X262">
        <v>1139.5899999999999</v>
      </c>
      <c r="Y262">
        <v>0</v>
      </c>
      <c r="Z262">
        <v>1930.34</v>
      </c>
      <c r="AA262">
        <v>3179.31</v>
      </c>
      <c r="AB262">
        <v>0</v>
      </c>
      <c r="AC262">
        <v>30816.81</v>
      </c>
      <c r="AD262">
        <v>0</v>
      </c>
      <c r="AE262">
        <v>75133.11</v>
      </c>
      <c r="AF262">
        <v>20378</v>
      </c>
      <c r="AG262" t="s">
        <v>67</v>
      </c>
      <c r="AH262" t="s">
        <v>68</v>
      </c>
      <c r="AI262" t="s">
        <v>67</v>
      </c>
      <c r="AJ262" t="s">
        <v>68</v>
      </c>
      <c r="AK262">
        <v>6689</v>
      </c>
      <c r="AL262" t="s">
        <v>44</v>
      </c>
      <c r="AM262">
        <v>2</v>
      </c>
      <c r="AN262">
        <v>2</v>
      </c>
      <c r="AO262">
        <v>2025</v>
      </c>
      <c r="AP262">
        <v>2</v>
      </c>
    </row>
    <row r="263" spans="1:42" x14ac:dyDescent="0.25">
      <c r="A263">
        <v>2472.33</v>
      </c>
      <c r="B263">
        <v>38079.160000000003</v>
      </c>
      <c r="C263">
        <v>5908.03</v>
      </c>
      <c r="D263">
        <v>2733.54</v>
      </c>
      <c r="E263">
        <v>9211.6200000000008</v>
      </c>
      <c r="F263">
        <v>58404.69</v>
      </c>
      <c r="G263">
        <v>7305.37</v>
      </c>
      <c r="H263">
        <v>5457.57</v>
      </c>
      <c r="I263">
        <v>3774.32</v>
      </c>
      <c r="J263">
        <v>16537.25</v>
      </c>
      <c r="K263">
        <v>74941.94</v>
      </c>
      <c r="L263">
        <v>57653.26</v>
      </c>
      <c r="M263">
        <v>196.06</v>
      </c>
      <c r="N263">
        <v>2821.36</v>
      </c>
      <c r="O263">
        <v>349.75</v>
      </c>
      <c r="P263">
        <v>61020.44</v>
      </c>
      <c r="Q263">
        <v>14079.42</v>
      </c>
      <c r="R263">
        <v>811.6</v>
      </c>
      <c r="S263">
        <v>1339.67</v>
      </c>
      <c r="T263">
        <v>2601.56</v>
      </c>
      <c r="U263">
        <v>0</v>
      </c>
      <c r="V263">
        <v>0</v>
      </c>
      <c r="W263">
        <v>904.02</v>
      </c>
      <c r="X263">
        <v>19736.27</v>
      </c>
      <c r="Y263">
        <v>6094.23</v>
      </c>
      <c r="Z263">
        <v>41233.79</v>
      </c>
      <c r="AA263">
        <v>5098.5600000000004</v>
      </c>
      <c r="AB263">
        <v>0</v>
      </c>
      <c r="AC263">
        <v>22188.240000000002</v>
      </c>
      <c r="AD263">
        <v>0</v>
      </c>
      <c r="AE263">
        <v>230313.47</v>
      </c>
      <c r="AF263">
        <v>22080</v>
      </c>
      <c r="AG263" t="s">
        <v>132</v>
      </c>
      <c r="AH263" t="s">
        <v>133</v>
      </c>
      <c r="AI263" t="s">
        <v>132</v>
      </c>
      <c r="AJ263" t="s">
        <v>133</v>
      </c>
      <c r="AK263">
        <v>1268</v>
      </c>
      <c r="AL263" t="s">
        <v>44</v>
      </c>
      <c r="AM263">
        <v>2</v>
      </c>
      <c r="AN263">
        <v>2</v>
      </c>
      <c r="AO263">
        <v>2025</v>
      </c>
      <c r="AP263">
        <v>2</v>
      </c>
    </row>
    <row r="264" spans="1:42" x14ac:dyDescent="0.25">
      <c r="A264">
        <v>2486.46</v>
      </c>
      <c r="B264">
        <v>33727.269999999997</v>
      </c>
      <c r="C264">
        <v>5408.2</v>
      </c>
      <c r="D264">
        <v>2123.9499999999998</v>
      </c>
      <c r="E264">
        <v>7804.22</v>
      </c>
      <c r="F264">
        <v>51550.1</v>
      </c>
      <c r="G264">
        <v>6288.8</v>
      </c>
      <c r="H264">
        <v>6549.79</v>
      </c>
      <c r="I264">
        <v>3549.94</v>
      </c>
      <c r="J264">
        <v>16388.53</v>
      </c>
      <c r="K264">
        <v>67938.63</v>
      </c>
      <c r="L264">
        <v>63254.76</v>
      </c>
      <c r="M264">
        <v>94.09</v>
      </c>
      <c r="N264">
        <v>2596.67</v>
      </c>
      <c r="O264">
        <v>279.48</v>
      </c>
      <c r="P264">
        <v>66224.990000000005</v>
      </c>
      <c r="Q264">
        <v>24776.32</v>
      </c>
      <c r="R264">
        <v>670.49</v>
      </c>
      <c r="S264">
        <v>1220.75</v>
      </c>
      <c r="T264">
        <v>3142.15</v>
      </c>
      <c r="U264">
        <v>0</v>
      </c>
      <c r="V264">
        <v>0</v>
      </c>
      <c r="W264">
        <v>1675.55</v>
      </c>
      <c r="X264">
        <v>31485.27</v>
      </c>
      <c r="Y264">
        <v>6342.2</v>
      </c>
      <c r="Z264">
        <v>47172.25</v>
      </c>
      <c r="AA264">
        <v>6243.21</v>
      </c>
      <c r="AB264">
        <v>0</v>
      </c>
      <c r="AC264">
        <v>33122.449999999997</v>
      </c>
      <c r="AD264">
        <v>0</v>
      </c>
      <c r="AE264">
        <v>258528.99</v>
      </c>
      <c r="AF264">
        <v>22080</v>
      </c>
      <c r="AG264" t="s">
        <v>132</v>
      </c>
      <c r="AH264" t="s">
        <v>133</v>
      </c>
      <c r="AI264" t="s">
        <v>132</v>
      </c>
      <c r="AJ264" t="s">
        <v>133</v>
      </c>
      <c r="AK264">
        <v>1268</v>
      </c>
      <c r="AL264" t="s">
        <v>44</v>
      </c>
      <c r="AM264">
        <v>2</v>
      </c>
      <c r="AN264">
        <v>2</v>
      </c>
      <c r="AO264">
        <v>2025</v>
      </c>
      <c r="AP264">
        <v>3</v>
      </c>
    </row>
    <row r="265" spans="1:42" x14ac:dyDescent="0.25">
      <c r="A265">
        <v>2488</v>
      </c>
      <c r="B265">
        <v>129400</v>
      </c>
      <c r="C265">
        <v>18048</v>
      </c>
      <c r="D265">
        <v>40507</v>
      </c>
      <c r="E265">
        <v>67619</v>
      </c>
      <c r="F265">
        <v>258062</v>
      </c>
      <c r="G265">
        <v>20655</v>
      </c>
      <c r="H265">
        <v>63912</v>
      </c>
      <c r="I265">
        <v>14692</v>
      </c>
      <c r="J265">
        <v>99259</v>
      </c>
      <c r="K265">
        <v>357321</v>
      </c>
      <c r="L265">
        <v>160229</v>
      </c>
      <c r="M265">
        <v>14277</v>
      </c>
      <c r="N265">
        <v>27915</v>
      </c>
      <c r="O265">
        <v>6503</v>
      </c>
      <c r="P265">
        <v>208924</v>
      </c>
      <c r="Q265">
        <v>7130</v>
      </c>
      <c r="R265">
        <v>7638</v>
      </c>
      <c r="S265">
        <v>2138</v>
      </c>
      <c r="T265">
        <v>33256</v>
      </c>
      <c r="U265">
        <v>9722</v>
      </c>
      <c r="V265">
        <v>305</v>
      </c>
      <c r="W265">
        <v>104654</v>
      </c>
      <c r="X265">
        <v>164843</v>
      </c>
      <c r="Y265">
        <v>19316</v>
      </c>
      <c r="Z265">
        <v>48722</v>
      </c>
      <c r="AA265">
        <v>38511</v>
      </c>
      <c r="AB265">
        <v>7025</v>
      </c>
      <c r="AC265">
        <v>9778</v>
      </c>
      <c r="AD265">
        <v>37868</v>
      </c>
      <c r="AE265">
        <v>892308</v>
      </c>
      <c r="AF265">
        <v>19790</v>
      </c>
      <c r="AG265" t="s">
        <v>134</v>
      </c>
      <c r="AH265" t="s">
        <v>135</v>
      </c>
      <c r="AI265" t="s">
        <v>134</v>
      </c>
      <c r="AJ265" t="s">
        <v>135</v>
      </c>
      <c r="AK265">
        <v>10260</v>
      </c>
      <c r="AL265" t="s">
        <v>50</v>
      </c>
      <c r="AM265">
        <v>3</v>
      </c>
      <c r="AN265">
        <v>3</v>
      </c>
      <c r="AO265">
        <v>2025</v>
      </c>
      <c r="AP265">
        <v>2</v>
      </c>
    </row>
    <row r="266" spans="1:42" x14ac:dyDescent="0.25">
      <c r="A266">
        <v>2525.89</v>
      </c>
      <c r="B266">
        <v>22302.37</v>
      </c>
      <c r="C266">
        <v>5628.22</v>
      </c>
      <c r="D266">
        <v>62.99</v>
      </c>
      <c r="E266">
        <v>0</v>
      </c>
      <c r="F266">
        <v>30519.47</v>
      </c>
      <c r="G266">
        <v>2719.87</v>
      </c>
      <c r="H266">
        <v>1250.2</v>
      </c>
      <c r="I266">
        <v>1997.46</v>
      </c>
      <c r="J266">
        <v>5967.53</v>
      </c>
      <c r="K266">
        <v>36486.99</v>
      </c>
      <c r="L266">
        <v>192.26</v>
      </c>
      <c r="M266">
        <v>1299.3499999999999</v>
      </c>
      <c r="N266">
        <v>0</v>
      </c>
      <c r="O266">
        <v>0</v>
      </c>
      <c r="P266">
        <v>1491.61</v>
      </c>
      <c r="Q266">
        <v>0</v>
      </c>
      <c r="R266">
        <v>0</v>
      </c>
      <c r="S266">
        <v>1134</v>
      </c>
      <c r="T266">
        <v>0</v>
      </c>
      <c r="U266">
        <v>0</v>
      </c>
      <c r="V266">
        <v>0</v>
      </c>
      <c r="W266">
        <v>0</v>
      </c>
      <c r="X266">
        <v>1134</v>
      </c>
      <c r="Y266">
        <v>0</v>
      </c>
      <c r="Z266">
        <v>2424.2199999999998</v>
      </c>
      <c r="AA266">
        <v>2060.77</v>
      </c>
      <c r="AB266">
        <v>0</v>
      </c>
      <c r="AC266">
        <v>32802.75</v>
      </c>
      <c r="AD266">
        <v>0</v>
      </c>
      <c r="AE266">
        <v>76400.350000000006</v>
      </c>
      <c r="AF266">
        <v>20378</v>
      </c>
      <c r="AG266" t="s">
        <v>67</v>
      </c>
      <c r="AH266" t="s">
        <v>68</v>
      </c>
      <c r="AI266" t="s">
        <v>67</v>
      </c>
      <c r="AJ266" t="s">
        <v>68</v>
      </c>
      <c r="AK266">
        <v>6689</v>
      </c>
      <c r="AL266" t="s">
        <v>44</v>
      </c>
      <c r="AM266">
        <v>2</v>
      </c>
      <c r="AN266">
        <v>2</v>
      </c>
      <c r="AO266">
        <v>2025</v>
      </c>
      <c r="AP266">
        <v>3</v>
      </c>
    </row>
    <row r="267" spans="1:42" x14ac:dyDescent="0.25">
      <c r="A267">
        <v>2636</v>
      </c>
      <c r="B267">
        <v>141912</v>
      </c>
      <c r="C267">
        <v>19456</v>
      </c>
      <c r="D267">
        <v>44653</v>
      </c>
      <c r="E267">
        <v>60731</v>
      </c>
      <c r="F267">
        <v>269388</v>
      </c>
      <c r="G267">
        <v>20850</v>
      </c>
      <c r="H267">
        <v>75444</v>
      </c>
      <c r="I267">
        <v>15166</v>
      </c>
      <c r="J267">
        <v>111460</v>
      </c>
      <c r="K267">
        <v>380848</v>
      </c>
      <c r="L267">
        <v>162519</v>
      </c>
      <c r="M267">
        <v>17052</v>
      </c>
      <c r="N267">
        <v>28715</v>
      </c>
      <c r="O267">
        <v>8391</v>
      </c>
      <c r="P267">
        <v>216677</v>
      </c>
      <c r="Q267">
        <v>7345</v>
      </c>
      <c r="R267">
        <v>6888</v>
      </c>
      <c r="S267">
        <v>1864</v>
      </c>
      <c r="T267">
        <v>26646</v>
      </c>
      <c r="U267">
        <v>8749</v>
      </c>
      <c r="V267">
        <v>92</v>
      </c>
      <c r="W267">
        <v>111071</v>
      </c>
      <c r="X267">
        <v>162655</v>
      </c>
      <c r="Y267">
        <v>21195</v>
      </c>
      <c r="Z267">
        <v>53269</v>
      </c>
      <c r="AA267">
        <v>39859</v>
      </c>
      <c r="AB267">
        <v>7781</v>
      </c>
      <c r="AC267">
        <v>9076</v>
      </c>
      <c r="AD267">
        <v>40529</v>
      </c>
      <c r="AE267">
        <v>931889</v>
      </c>
      <c r="AF267">
        <v>19790</v>
      </c>
      <c r="AG267" t="s">
        <v>134</v>
      </c>
      <c r="AH267" t="s">
        <v>135</v>
      </c>
      <c r="AI267" t="s">
        <v>134</v>
      </c>
      <c r="AJ267" t="s">
        <v>135</v>
      </c>
      <c r="AK267">
        <v>10260</v>
      </c>
      <c r="AL267" t="s">
        <v>50</v>
      </c>
      <c r="AM267">
        <v>3</v>
      </c>
      <c r="AN267">
        <v>3</v>
      </c>
      <c r="AO267">
        <v>2025</v>
      </c>
      <c r="AP267">
        <v>4</v>
      </c>
    </row>
    <row r="268" spans="1:42" x14ac:dyDescent="0.25">
      <c r="A268">
        <v>2676.85</v>
      </c>
      <c r="B268">
        <v>287019.24</v>
      </c>
      <c r="C268">
        <v>24098.46</v>
      </c>
      <c r="D268">
        <v>77099.62</v>
      </c>
      <c r="E268">
        <v>62376.28</v>
      </c>
      <c r="F268">
        <v>453270.45</v>
      </c>
      <c r="G268">
        <v>39581.449999999997</v>
      </c>
      <c r="H268">
        <v>107965.96</v>
      </c>
      <c r="I268">
        <v>24988.99</v>
      </c>
      <c r="J268">
        <v>172536.4</v>
      </c>
      <c r="K268">
        <v>625806.85</v>
      </c>
      <c r="L268">
        <v>367251</v>
      </c>
      <c r="M268">
        <v>20102.82</v>
      </c>
      <c r="N268">
        <v>31169.759999999998</v>
      </c>
      <c r="O268">
        <v>8010.52</v>
      </c>
      <c r="P268">
        <v>426534.1</v>
      </c>
      <c r="Q268">
        <v>9659.15</v>
      </c>
      <c r="R268">
        <v>1462.94</v>
      </c>
      <c r="S268">
        <v>5048.8599999999997</v>
      </c>
      <c r="T268">
        <v>126629.4</v>
      </c>
      <c r="U268">
        <v>4401.95</v>
      </c>
      <c r="V268">
        <v>0</v>
      </c>
      <c r="W268">
        <v>174928.8</v>
      </c>
      <c r="X268">
        <v>322131.09999999998</v>
      </c>
      <c r="Y268">
        <v>42951.71</v>
      </c>
      <c r="Z268">
        <v>99732.59</v>
      </c>
      <c r="AA268">
        <v>108252.42</v>
      </c>
      <c r="AB268">
        <v>10576.18</v>
      </c>
      <c r="AC268">
        <v>15990.73</v>
      </c>
      <c r="AD268">
        <v>557.38</v>
      </c>
      <c r="AE268">
        <v>1652533.07</v>
      </c>
      <c r="AF268">
        <v>20409</v>
      </c>
      <c r="AG268" t="s">
        <v>95</v>
      </c>
      <c r="AH268" t="s">
        <v>96</v>
      </c>
      <c r="AI268" t="s">
        <v>95</v>
      </c>
      <c r="AJ268" t="s">
        <v>96</v>
      </c>
      <c r="AK268">
        <v>6673</v>
      </c>
      <c r="AL268" t="s">
        <v>44</v>
      </c>
      <c r="AM268">
        <v>3</v>
      </c>
      <c r="AN268">
        <v>3</v>
      </c>
      <c r="AO268">
        <v>2025</v>
      </c>
      <c r="AP268">
        <v>3</v>
      </c>
    </row>
    <row r="269" spans="1:42" x14ac:dyDescent="0.25">
      <c r="A269">
        <v>2737.28</v>
      </c>
      <c r="B269">
        <v>78900.960000000006</v>
      </c>
      <c r="C269">
        <v>24555.95</v>
      </c>
      <c r="D269">
        <v>3654.54</v>
      </c>
      <c r="E269">
        <v>20655.88</v>
      </c>
      <c r="F269">
        <v>130504.6</v>
      </c>
      <c r="G269">
        <v>12507.74</v>
      </c>
      <c r="H269">
        <v>49511.47</v>
      </c>
      <c r="I269">
        <v>9465.75</v>
      </c>
      <c r="J269">
        <v>71484.960000000006</v>
      </c>
      <c r="K269">
        <v>201989.56</v>
      </c>
      <c r="L269">
        <v>151249.13</v>
      </c>
      <c r="M269">
        <v>28113.23</v>
      </c>
      <c r="N269">
        <v>2111.34</v>
      </c>
      <c r="O269">
        <v>11981.1</v>
      </c>
      <c r="P269">
        <v>193454.8</v>
      </c>
      <c r="Q269">
        <v>5720.64</v>
      </c>
      <c r="R269">
        <v>2777.21</v>
      </c>
      <c r="S269">
        <v>1530.42</v>
      </c>
      <c r="T269">
        <v>2545.64</v>
      </c>
      <c r="U269">
        <v>0</v>
      </c>
      <c r="V269">
        <v>0</v>
      </c>
      <c r="W269">
        <v>33228.85</v>
      </c>
      <c r="X269">
        <v>45802.76</v>
      </c>
      <c r="Y269">
        <v>22939.93</v>
      </c>
      <c r="Z269">
        <v>20872.29</v>
      </c>
      <c r="AA269">
        <v>53998.99</v>
      </c>
      <c r="AB269">
        <v>4737.93</v>
      </c>
      <c r="AC269">
        <v>30512.37</v>
      </c>
      <c r="AD269">
        <v>0</v>
      </c>
      <c r="AE269">
        <v>574308.63</v>
      </c>
      <c r="AF269">
        <v>20368</v>
      </c>
      <c r="AG269" t="s">
        <v>136</v>
      </c>
      <c r="AH269" t="s">
        <v>137</v>
      </c>
      <c r="AI269" t="s">
        <v>136</v>
      </c>
      <c r="AJ269" t="s">
        <v>137</v>
      </c>
      <c r="AK269">
        <v>6035</v>
      </c>
      <c r="AL269" t="s">
        <v>44</v>
      </c>
      <c r="AM269">
        <v>3</v>
      </c>
      <c r="AN269">
        <v>3</v>
      </c>
      <c r="AO269">
        <v>2025</v>
      </c>
      <c r="AP269">
        <v>3</v>
      </c>
    </row>
    <row r="270" spans="1:42" x14ac:dyDescent="0.25">
      <c r="A270">
        <v>2765.71</v>
      </c>
      <c r="B270">
        <v>83146.179999999993</v>
      </c>
      <c r="C270">
        <v>24148.66</v>
      </c>
      <c r="D270">
        <v>3506.96</v>
      </c>
      <c r="E270">
        <v>21338.720000000001</v>
      </c>
      <c r="F270">
        <v>134906.22</v>
      </c>
      <c r="G270">
        <v>12656.52</v>
      </c>
      <c r="H270">
        <v>54647.13</v>
      </c>
      <c r="I270">
        <v>12828.85</v>
      </c>
      <c r="J270">
        <v>80132.490000000005</v>
      </c>
      <c r="K270">
        <v>215038.72</v>
      </c>
      <c r="L270">
        <v>165746.53</v>
      </c>
      <c r="M270">
        <v>23680.92</v>
      </c>
      <c r="N270">
        <v>2934.01</v>
      </c>
      <c r="O270">
        <v>11747.96</v>
      </c>
      <c r="P270">
        <v>204109.42</v>
      </c>
      <c r="Q270">
        <v>6684.92</v>
      </c>
      <c r="R270">
        <v>2195.4899999999998</v>
      </c>
      <c r="S270">
        <v>1904.39</v>
      </c>
      <c r="T270">
        <v>2779.84</v>
      </c>
      <c r="U270">
        <v>0</v>
      </c>
      <c r="V270">
        <v>0</v>
      </c>
      <c r="W270">
        <v>35037.040000000001</v>
      </c>
      <c r="X270">
        <v>48601.67</v>
      </c>
      <c r="Y270">
        <v>26781.8</v>
      </c>
      <c r="Z270">
        <v>20404.61</v>
      </c>
      <c r="AA270">
        <v>60074.98</v>
      </c>
      <c r="AB270">
        <v>4671.13</v>
      </c>
      <c r="AC270">
        <v>45585.85</v>
      </c>
      <c r="AD270">
        <v>0</v>
      </c>
      <c r="AE270">
        <v>625268.18000000005</v>
      </c>
      <c r="AF270">
        <v>20368</v>
      </c>
      <c r="AG270" t="s">
        <v>136</v>
      </c>
      <c r="AH270" t="s">
        <v>137</v>
      </c>
      <c r="AI270" t="s">
        <v>136</v>
      </c>
      <c r="AJ270" t="s">
        <v>137</v>
      </c>
      <c r="AK270">
        <v>6035</v>
      </c>
      <c r="AL270" t="s">
        <v>44</v>
      </c>
      <c r="AM270">
        <v>3</v>
      </c>
      <c r="AN270">
        <v>3</v>
      </c>
      <c r="AO270">
        <v>2025</v>
      </c>
      <c r="AP270">
        <v>2</v>
      </c>
    </row>
    <row r="271" spans="1:42" x14ac:dyDescent="0.25">
      <c r="A271">
        <v>2770.61</v>
      </c>
      <c r="B271">
        <v>43393.11</v>
      </c>
      <c r="C271">
        <v>38734.57</v>
      </c>
      <c r="D271">
        <v>7468.12</v>
      </c>
      <c r="F271">
        <v>92366.399999999994</v>
      </c>
      <c r="G271">
        <v>26198.85</v>
      </c>
      <c r="H271">
        <v>19567.830000000002</v>
      </c>
      <c r="I271">
        <v>5946.75</v>
      </c>
      <c r="J271">
        <v>51713.43</v>
      </c>
      <c r="K271">
        <v>144079.82999999999</v>
      </c>
      <c r="L271">
        <v>143311.41</v>
      </c>
      <c r="M271">
        <v>17160.830000000002</v>
      </c>
      <c r="O271">
        <v>97.95</v>
      </c>
      <c r="P271">
        <v>160570.19</v>
      </c>
      <c r="Q271">
        <v>2203.31</v>
      </c>
      <c r="R271">
        <v>1518.41</v>
      </c>
      <c r="S271">
        <v>1586.1</v>
      </c>
      <c r="T271">
        <v>37361.69</v>
      </c>
      <c r="V271">
        <v>8791.56</v>
      </c>
      <c r="W271">
        <v>41551.75</v>
      </c>
      <c r="X271">
        <v>93012.82</v>
      </c>
      <c r="Y271">
        <v>7074.48</v>
      </c>
      <c r="Z271">
        <v>13342.36</v>
      </c>
      <c r="AA271">
        <v>20553.45</v>
      </c>
      <c r="AD271">
        <v>45493.58</v>
      </c>
      <c r="AE271">
        <v>484126.71</v>
      </c>
      <c r="AF271">
        <v>20370</v>
      </c>
      <c r="AG271" t="s">
        <v>81</v>
      </c>
      <c r="AH271" t="s">
        <v>82</v>
      </c>
      <c r="AI271" t="s">
        <v>81</v>
      </c>
      <c r="AJ271" t="s">
        <v>82</v>
      </c>
      <c r="AK271">
        <v>16683</v>
      </c>
      <c r="AL271" t="s">
        <v>47</v>
      </c>
      <c r="AM271">
        <v>3</v>
      </c>
      <c r="AN271">
        <v>3</v>
      </c>
      <c r="AO271">
        <v>2025</v>
      </c>
      <c r="AP271">
        <v>3</v>
      </c>
    </row>
    <row r="272" spans="1:42" x14ac:dyDescent="0.25">
      <c r="A272">
        <v>2785.88</v>
      </c>
      <c r="B272">
        <v>75881.649999999994</v>
      </c>
      <c r="C272">
        <v>24599.69</v>
      </c>
      <c r="D272">
        <v>3741.59</v>
      </c>
      <c r="E272">
        <v>20208.63</v>
      </c>
      <c r="F272">
        <v>127217.44</v>
      </c>
      <c r="G272">
        <v>10790.64</v>
      </c>
      <c r="H272">
        <v>53026.45</v>
      </c>
      <c r="I272">
        <v>9859.9699999999993</v>
      </c>
      <c r="J272">
        <v>73677.06</v>
      </c>
      <c r="K272">
        <v>200894.49</v>
      </c>
      <c r="L272">
        <v>156386.29</v>
      </c>
      <c r="M272">
        <v>24872.14</v>
      </c>
      <c r="N272">
        <v>2859.02</v>
      </c>
      <c r="O272">
        <v>10817.84</v>
      </c>
      <c r="P272">
        <v>194935.29</v>
      </c>
      <c r="Q272">
        <v>7471.61</v>
      </c>
      <c r="R272">
        <v>2861.16</v>
      </c>
      <c r="S272">
        <v>1799.72</v>
      </c>
      <c r="T272">
        <v>8753.91</v>
      </c>
      <c r="U272">
        <v>0</v>
      </c>
      <c r="V272">
        <v>0</v>
      </c>
      <c r="W272">
        <v>33272.910000000003</v>
      </c>
      <c r="X272">
        <v>54159.31</v>
      </c>
      <c r="Y272">
        <v>23170.69</v>
      </c>
      <c r="Z272">
        <v>18397.07</v>
      </c>
      <c r="AA272">
        <v>53523.53</v>
      </c>
      <c r="AB272">
        <v>4664.3100000000004</v>
      </c>
      <c r="AC272">
        <v>46070.78</v>
      </c>
      <c r="AD272">
        <v>0</v>
      </c>
      <c r="AE272">
        <v>595815.44999999995</v>
      </c>
      <c r="AF272">
        <v>20368</v>
      </c>
      <c r="AG272" t="s">
        <v>136</v>
      </c>
      <c r="AH272" t="s">
        <v>137</v>
      </c>
      <c r="AI272" t="s">
        <v>136</v>
      </c>
      <c r="AJ272" t="s">
        <v>137</v>
      </c>
      <c r="AK272">
        <v>6035</v>
      </c>
      <c r="AL272" t="s">
        <v>44</v>
      </c>
      <c r="AM272">
        <v>3</v>
      </c>
      <c r="AN272">
        <v>3</v>
      </c>
      <c r="AO272">
        <v>2025</v>
      </c>
      <c r="AP272">
        <v>4</v>
      </c>
    </row>
    <row r="273" spans="1:42" x14ac:dyDescent="0.25">
      <c r="A273">
        <v>2791.55</v>
      </c>
      <c r="B273">
        <v>314279.94</v>
      </c>
      <c r="C273">
        <v>26836.28</v>
      </c>
      <c r="D273">
        <v>82495.55</v>
      </c>
      <c r="E273">
        <v>64393.61</v>
      </c>
      <c r="F273">
        <v>490796.92</v>
      </c>
      <c r="G273">
        <v>40394.94</v>
      </c>
      <c r="H273">
        <v>112785.33</v>
      </c>
      <c r="I273">
        <v>29686.240000000002</v>
      </c>
      <c r="J273">
        <v>182866.51</v>
      </c>
      <c r="K273">
        <v>673663.43</v>
      </c>
      <c r="L273">
        <v>366925.07</v>
      </c>
      <c r="M273">
        <v>22848.23</v>
      </c>
      <c r="N273">
        <v>31260.39</v>
      </c>
      <c r="O273">
        <v>8706.7900000000009</v>
      </c>
      <c r="P273">
        <v>429740.48</v>
      </c>
      <c r="Q273">
        <v>13383.88</v>
      </c>
      <c r="R273">
        <v>1836.59</v>
      </c>
      <c r="S273">
        <v>5958.37</v>
      </c>
      <c r="T273">
        <v>123483.74</v>
      </c>
      <c r="U273">
        <v>5268.33</v>
      </c>
      <c r="V273">
        <v>0</v>
      </c>
      <c r="W273">
        <v>191608.12</v>
      </c>
      <c r="X273">
        <v>341539.03</v>
      </c>
      <c r="Y273">
        <v>44791.88</v>
      </c>
      <c r="Z273">
        <v>78455.31</v>
      </c>
      <c r="AA273">
        <v>118182.55</v>
      </c>
      <c r="AB273">
        <v>10985.21</v>
      </c>
      <c r="AC273">
        <v>21113.94</v>
      </c>
      <c r="AD273">
        <v>366.26</v>
      </c>
      <c r="AE273">
        <v>1718838.1</v>
      </c>
      <c r="AF273">
        <v>20409</v>
      </c>
      <c r="AG273" t="s">
        <v>95</v>
      </c>
      <c r="AH273" t="s">
        <v>96</v>
      </c>
      <c r="AI273" t="s">
        <v>95</v>
      </c>
      <c r="AJ273" t="s">
        <v>96</v>
      </c>
      <c r="AK273">
        <v>6673</v>
      </c>
      <c r="AL273" t="s">
        <v>44</v>
      </c>
      <c r="AM273">
        <v>3</v>
      </c>
      <c r="AN273">
        <v>3</v>
      </c>
      <c r="AO273">
        <v>2025</v>
      </c>
      <c r="AP273">
        <v>4</v>
      </c>
    </row>
    <row r="274" spans="1:42" x14ac:dyDescent="0.25">
      <c r="A274">
        <v>2823.3</v>
      </c>
      <c r="B274">
        <v>4843.71</v>
      </c>
      <c r="F274">
        <v>7667.01</v>
      </c>
      <c r="H274">
        <v>1705.88</v>
      </c>
      <c r="I274">
        <v>716.16</v>
      </c>
      <c r="J274">
        <v>2422.04</v>
      </c>
      <c r="K274">
        <v>10089.049999999999</v>
      </c>
      <c r="L274">
        <v>27.73</v>
      </c>
      <c r="M274">
        <v>1636.65</v>
      </c>
      <c r="P274">
        <v>1664.39</v>
      </c>
      <c r="R274">
        <v>26.5</v>
      </c>
      <c r="S274">
        <v>223.31</v>
      </c>
      <c r="T274">
        <v>3511.16</v>
      </c>
      <c r="W274">
        <v>1050.02</v>
      </c>
      <c r="X274">
        <v>4810.99</v>
      </c>
      <c r="Y274">
        <v>-2.06</v>
      </c>
      <c r="Z274">
        <v>311.74</v>
      </c>
      <c r="AA274">
        <v>1092.8</v>
      </c>
      <c r="AB274">
        <v>0</v>
      </c>
      <c r="AC274">
        <v>7150.04</v>
      </c>
      <c r="AE274">
        <v>25116.95</v>
      </c>
      <c r="AF274">
        <v>21754</v>
      </c>
      <c r="AG274" t="s">
        <v>138</v>
      </c>
      <c r="AH274" t="s">
        <v>139</v>
      </c>
      <c r="AI274" t="s">
        <v>138</v>
      </c>
      <c r="AJ274" t="s">
        <v>139</v>
      </c>
      <c r="AK274">
        <v>1207</v>
      </c>
      <c r="AL274" t="s">
        <v>115</v>
      </c>
      <c r="AM274">
        <v>1</v>
      </c>
      <c r="AN274">
        <v>1</v>
      </c>
      <c r="AO274">
        <v>2025</v>
      </c>
      <c r="AP274">
        <v>1</v>
      </c>
    </row>
    <row r="275" spans="1:42" x14ac:dyDescent="0.25">
      <c r="A275">
        <v>2842.93</v>
      </c>
      <c r="B275">
        <v>6155.66</v>
      </c>
      <c r="F275">
        <v>8998.59</v>
      </c>
      <c r="H275">
        <v>2415.16</v>
      </c>
      <c r="I275">
        <v>725.24</v>
      </c>
      <c r="J275">
        <v>3140.4</v>
      </c>
      <c r="K275">
        <v>12138.99</v>
      </c>
      <c r="L275">
        <v>20.94</v>
      </c>
      <c r="M275">
        <v>2259.04</v>
      </c>
      <c r="P275">
        <v>2279.98</v>
      </c>
      <c r="R275">
        <v>28.23</v>
      </c>
      <c r="S275">
        <v>260.73</v>
      </c>
      <c r="T275">
        <v>3868.51</v>
      </c>
      <c r="W275">
        <v>914.02</v>
      </c>
      <c r="X275">
        <v>5071.49</v>
      </c>
      <c r="Y275">
        <v>0.33</v>
      </c>
      <c r="Z275">
        <v>375.92</v>
      </c>
      <c r="AA275">
        <v>1457.03</v>
      </c>
      <c r="AB275">
        <v>0</v>
      </c>
      <c r="AC275">
        <v>7606.8</v>
      </c>
      <c r="AE275">
        <v>28930.53</v>
      </c>
      <c r="AF275">
        <v>21754</v>
      </c>
      <c r="AG275" t="s">
        <v>138</v>
      </c>
      <c r="AH275" t="s">
        <v>139</v>
      </c>
      <c r="AI275" t="s">
        <v>138</v>
      </c>
      <c r="AJ275" t="s">
        <v>139</v>
      </c>
      <c r="AK275">
        <v>1207</v>
      </c>
      <c r="AL275" t="s">
        <v>115</v>
      </c>
      <c r="AM275">
        <v>1</v>
      </c>
      <c r="AN275">
        <v>1</v>
      </c>
      <c r="AO275">
        <v>2025</v>
      </c>
      <c r="AP275">
        <v>2</v>
      </c>
    </row>
    <row r="276" spans="1:42" x14ac:dyDescent="0.25">
      <c r="A276">
        <v>2860.95</v>
      </c>
      <c r="B276">
        <v>92599.81</v>
      </c>
      <c r="C276">
        <v>13339.87</v>
      </c>
      <c r="D276">
        <v>2889.53</v>
      </c>
      <c r="E276">
        <v>18250.02</v>
      </c>
      <c r="F276">
        <v>129940.17</v>
      </c>
      <c r="G276">
        <v>16442.36</v>
      </c>
      <c r="H276">
        <v>13103.7</v>
      </c>
      <c r="I276">
        <v>10935.26</v>
      </c>
      <c r="J276">
        <v>40481.32</v>
      </c>
      <c r="K276">
        <v>170421.5</v>
      </c>
      <c r="L276">
        <v>0</v>
      </c>
      <c r="M276">
        <v>5147.21</v>
      </c>
      <c r="N276">
        <v>0</v>
      </c>
      <c r="O276">
        <v>3679.79</v>
      </c>
      <c r="P276">
        <v>8826.99</v>
      </c>
      <c r="Q276">
        <v>0</v>
      </c>
      <c r="R276">
        <v>78.7</v>
      </c>
      <c r="S276">
        <v>1033</v>
      </c>
      <c r="T276">
        <v>112300.88</v>
      </c>
      <c r="U276">
        <v>0</v>
      </c>
      <c r="V276">
        <v>0</v>
      </c>
      <c r="W276">
        <v>6962.26</v>
      </c>
      <c r="X276">
        <v>120374.84</v>
      </c>
      <c r="Y276">
        <v>0</v>
      </c>
      <c r="Z276">
        <v>34493.019999999997</v>
      </c>
      <c r="AA276">
        <v>6731.2</v>
      </c>
      <c r="AB276">
        <v>0</v>
      </c>
      <c r="AC276">
        <v>2192.2199999999998</v>
      </c>
      <c r="AD276">
        <v>0</v>
      </c>
      <c r="AE276">
        <v>343039.76</v>
      </c>
      <c r="AF276">
        <v>20397</v>
      </c>
      <c r="AG276" t="s">
        <v>65</v>
      </c>
      <c r="AH276" t="s">
        <v>66</v>
      </c>
      <c r="AI276" t="s">
        <v>65</v>
      </c>
      <c r="AJ276" t="s">
        <v>66</v>
      </c>
      <c r="AK276">
        <v>7028</v>
      </c>
      <c r="AL276" t="s">
        <v>44</v>
      </c>
      <c r="AM276">
        <v>2</v>
      </c>
      <c r="AN276">
        <v>2</v>
      </c>
      <c r="AO276">
        <v>2025</v>
      </c>
      <c r="AP276">
        <v>1</v>
      </c>
    </row>
    <row r="277" spans="1:42" x14ac:dyDescent="0.25">
      <c r="A277">
        <v>2862.17</v>
      </c>
      <c r="B277">
        <v>42377.08</v>
      </c>
      <c r="C277">
        <v>37131.69</v>
      </c>
      <c r="D277">
        <v>7280.69</v>
      </c>
      <c r="F277">
        <v>89651.63</v>
      </c>
      <c r="G277">
        <v>23547.16</v>
      </c>
      <c r="H277">
        <v>16346.15</v>
      </c>
      <c r="I277">
        <v>6203.79</v>
      </c>
      <c r="J277">
        <v>46097.09</v>
      </c>
      <c r="K277">
        <v>135748.72</v>
      </c>
      <c r="L277">
        <v>111302.71</v>
      </c>
      <c r="M277">
        <v>11663.72</v>
      </c>
      <c r="O277">
        <v>128.16</v>
      </c>
      <c r="P277">
        <v>123094.59</v>
      </c>
      <c r="Q277">
        <v>2242.9499999999998</v>
      </c>
      <c r="R277">
        <v>1606.29</v>
      </c>
      <c r="S277">
        <v>1576.42</v>
      </c>
      <c r="T277">
        <v>38178.93</v>
      </c>
      <c r="V277">
        <v>7631.9</v>
      </c>
      <c r="W277">
        <v>34939.86</v>
      </c>
      <c r="X277">
        <v>86176.36</v>
      </c>
      <c r="Y277">
        <v>5648.36</v>
      </c>
      <c r="Z277">
        <v>12965.08</v>
      </c>
      <c r="AA277">
        <v>20810.400000000001</v>
      </c>
      <c r="AD277">
        <v>49455.76</v>
      </c>
      <c r="AE277">
        <v>433899.26</v>
      </c>
      <c r="AF277">
        <v>20370</v>
      </c>
      <c r="AG277" t="s">
        <v>81</v>
      </c>
      <c r="AH277" t="s">
        <v>82</v>
      </c>
      <c r="AI277" t="s">
        <v>81</v>
      </c>
      <c r="AJ277" t="s">
        <v>82</v>
      </c>
      <c r="AK277">
        <v>16683</v>
      </c>
      <c r="AL277" t="s">
        <v>47</v>
      </c>
      <c r="AM277">
        <v>3</v>
      </c>
      <c r="AN277">
        <v>3</v>
      </c>
      <c r="AO277">
        <v>2025</v>
      </c>
      <c r="AP277">
        <v>2</v>
      </c>
    </row>
    <row r="278" spans="1:42" x14ac:dyDescent="0.25">
      <c r="A278">
        <v>2875.15</v>
      </c>
      <c r="B278">
        <v>44066.63</v>
      </c>
      <c r="C278">
        <v>1619.04</v>
      </c>
      <c r="D278">
        <v>2291.4499999999998</v>
      </c>
      <c r="E278">
        <v>8312.18</v>
      </c>
      <c r="F278">
        <v>59164.45</v>
      </c>
      <c r="G278">
        <v>19929.71</v>
      </c>
      <c r="H278">
        <v>14074.86</v>
      </c>
      <c r="I278">
        <v>4176.78</v>
      </c>
      <c r="J278">
        <v>38181.35</v>
      </c>
      <c r="K278">
        <v>97345.8</v>
      </c>
      <c r="L278">
        <v>78137.960000000006</v>
      </c>
      <c r="M278">
        <v>9014.8799999999992</v>
      </c>
      <c r="N278">
        <v>135.66999999999999</v>
      </c>
      <c r="O278">
        <v>2654.2</v>
      </c>
      <c r="P278">
        <v>89942.7</v>
      </c>
      <c r="Q278">
        <v>217.68</v>
      </c>
      <c r="R278">
        <v>9001</v>
      </c>
      <c r="S278">
        <v>1332.42</v>
      </c>
      <c r="T278">
        <v>13141.24</v>
      </c>
      <c r="U278">
        <v>1247.31</v>
      </c>
      <c r="V278">
        <v>615.62</v>
      </c>
      <c r="W278">
        <v>15739.98</v>
      </c>
      <c r="X278">
        <v>41295.24</v>
      </c>
      <c r="Y278">
        <v>7489.52</v>
      </c>
      <c r="Z278">
        <v>16633.23</v>
      </c>
      <c r="AA278">
        <v>24856.89</v>
      </c>
      <c r="AB278">
        <v>0</v>
      </c>
      <c r="AC278">
        <v>2745.66</v>
      </c>
      <c r="AD278">
        <v>336.78</v>
      </c>
      <c r="AE278">
        <v>280645.82</v>
      </c>
      <c r="AF278">
        <v>20007</v>
      </c>
      <c r="AG278" t="s">
        <v>140</v>
      </c>
      <c r="AH278" t="s">
        <v>141</v>
      </c>
      <c r="AI278" t="s">
        <v>140</v>
      </c>
      <c r="AJ278" t="s">
        <v>141</v>
      </c>
      <c r="AK278">
        <v>6087</v>
      </c>
      <c r="AL278" t="s">
        <v>44</v>
      </c>
      <c r="AM278">
        <v>3</v>
      </c>
      <c r="AN278">
        <v>3</v>
      </c>
      <c r="AO278">
        <v>2025</v>
      </c>
      <c r="AP278">
        <v>2</v>
      </c>
    </row>
    <row r="279" spans="1:42" x14ac:dyDescent="0.25">
      <c r="A279">
        <v>2894.31</v>
      </c>
      <c r="B279">
        <v>8710.2999999999993</v>
      </c>
      <c r="C279">
        <v>1383.69</v>
      </c>
      <c r="D279">
        <v>8338.1</v>
      </c>
      <c r="E279">
        <v>1589.85</v>
      </c>
      <c r="F279">
        <v>22916.240000000002</v>
      </c>
      <c r="G279">
        <v>2476.56</v>
      </c>
      <c r="H279">
        <v>2670.84</v>
      </c>
      <c r="I279">
        <v>1633.45</v>
      </c>
      <c r="J279">
        <v>6780.85</v>
      </c>
      <c r="K279">
        <v>29697.09</v>
      </c>
      <c r="L279">
        <v>0</v>
      </c>
      <c r="M279">
        <v>2079.4899999999998</v>
      </c>
      <c r="N279">
        <v>0</v>
      </c>
      <c r="O279">
        <v>279.85000000000002</v>
      </c>
      <c r="P279">
        <v>2359.34</v>
      </c>
      <c r="Q279">
        <v>40.79</v>
      </c>
      <c r="R279">
        <v>24.58</v>
      </c>
      <c r="S279">
        <v>71.349999999999994</v>
      </c>
      <c r="T279">
        <v>6203.94</v>
      </c>
      <c r="U279">
        <v>0</v>
      </c>
      <c r="V279">
        <v>0</v>
      </c>
      <c r="W279">
        <v>935.3</v>
      </c>
      <c r="X279">
        <v>7275.95</v>
      </c>
      <c r="Y279">
        <v>0</v>
      </c>
      <c r="Z279">
        <v>4581.91</v>
      </c>
      <c r="AA279">
        <v>293.16000000000003</v>
      </c>
      <c r="AB279">
        <v>0</v>
      </c>
      <c r="AC279">
        <v>142.93</v>
      </c>
      <c r="AD279">
        <v>0.62</v>
      </c>
      <c r="AE279">
        <v>44350.99</v>
      </c>
      <c r="AF279">
        <v>20398</v>
      </c>
      <c r="AG279" t="s">
        <v>130</v>
      </c>
      <c r="AH279" t="s">
        <v>131</v>
      </c>
      <c r="AI279" t="s">
        <v>130</v>
      </c>
      <c r="AJ279" t="s">
        <v>131</v>
      </c>
      <c r="AK279">
        <v>16820</v>
      </c>
      <c r="AL279" t="s">
        <v>50</v>
      </c>
      <c r="AM279">
        <v>3</v>
      </c>
      <c r="AN279">
        <v>3</v>
      </c>
      <c r="AO279">
        <v>2025</v>
      </c>
      <c r="AP279">
        <v>3</v>
      </c>
    </row>
    <row r="280" spans="1:42" x14ac:dyDescent="0.25">
      <c r="A280">
        <v>3012.43</v>
      </c>
      <c r="B280">
        <v>108526.25</v>
      </c>
      <c r="C280">
        <v>18739.64</v>
      </c>
      <c r="D280">
        <v>23352.81</v>
      </c>
      <c r="E280">
        <v>29814.26</v>
      </c>
      <c r="F280">
        <v>183445.39</v>
      </c>
      <c r="G280">
        <v>17529.23</v>
      </c>
      <c r="H280">
        <v>42847.75</v>
      </c>
      <c r="I280">
        <v>10652.84</v>
      </c>
      <c r="J280">
        <v>71029.820000000007</v>
      </c>
      <c r="K280">
        <v>254475.21</v>
      </c>
      <c r="L280">
        <v>125592.47</v>
      </c>
      <c r="M280">
        <v>8847.25</v>
      </c>
      <c r="N280">
        <v>19272.27</v>
      </c>
      <c r="O280">
        <v>4062.75</v>
      </c>
      <c r="P280">
        <v>157774.74</v>
      </c>
      <c r="Q280">
        <v>6094.85</v>
      </c>
      <c r="R280">
        <v>2930.81</v>
      </c>
      <c r="S280">
        <v>1079.3</v>
      </c>
      <c r="T280">
        <v>53254.41</v>
      </c>
      <c r="U280">
        <v>1295.33</v>
      </c>
      <c r="V280">
        <v>873.34</v>
      </c>
      <c r="W280">
        <v>64158.67</v>
      </c>
      <c r="X280">
        <v>129686.69</v>
      </c>
      <c r="Y280">
        <v>15065.05</v>
      </c>
      <c r="Z280">
        <v>48215.48</v>
      </c>
      <c r="AA280">
        <v>30376.95</v>
      </c>
      <c r="AB280">
        <v>2357.64</v>
      </c>
      <c r="AC280">
        <v>15125.48</v>
      </c>
      <c r="AD280">
        <v>2308.56</v>
      </c>
      <c r="AE280">
        <v>655385.80000000005</v>
      </c>
      <c r="AF280">
        <v>19690</v>
      </c>
      <c r="AG280" t="s">
        <v>126</v>
      </c>
      <c r="AH280" t="s">
        <v>127</v>
      </c>
      <c r="AI280" t="s">
        <v>126</v>
      </c>
      <c r="AJ280" t="s">
        <v>127</v>
      </c>
      <c r="AK280">
        <v>5375</v>
      </c>
      <c r="AL280" t="s">
        <v>44</v>
      </c>
      <c r="AM280">
        <v>3</v>
      </c>
      <c r="AN280">
        <v>3</v>
      </c>
      <c r="AO280">
        <v>2025</v>
      </c>
      <c r="AP280">
        <v>2</v>
      </c>
    </row>
    <row r="281" spans="1:42" x14ac:dyDescent="0.25">
      <c r="A281">
        <v>3116.58</v>
      </c>
      <c r="B281">
        <v>11745.34</v>
      </c>
      <c r="C281">
        <v>1554.8</v>
      </c>
      <c r="D281">
        <v>10769.48</v>
      </c>
      <c r="E281">
        <v>1902.76</v>
      </c>
      <c r="F281">
        <v>29088.95</v>
      </c>
      <c r="G281">
        <v>3106.74</v>
      </c>
      <c r="H281">
        <v>3283.67</v>
      </c>
      <c r="I281">
        <v>2020.59</v>
      </c>
      <c r="J281">
        <v>8411</v>
      </c>
      <c r="K281">
        <v>37499.94</v>
      </c>
      <c r="L281">
        <v>0</v>
      </c>
      <c r="M281">
        <v>1890.62</v>
      </c>
      <c r="N281">
        <v>0</v>
      </c>
      <c r="O281">
        <v>299.51</v>
      </c>
      <c r="P281">
        <v>2190.12</v>
      </c>
      <c r="Q281">
        <v>50.91</v>
      </c>
      <c r="R281">
        <v>30.25</v>
      </c>
      <c r="S281">
        <v>147.21</v>
      </c>
      <c r="T281">
        <v>7153.7</v>
      </c>
      <c r="U281">
        <v>0</v>
      </c>
      <c r="V281">
        <v>0</v>
      </c>
      <c r="W281">
        <v>1303</v>
      </c>
      <c r="X281">
        <v>8685.07</v>
      </c>
      <c r="Y281">
        <v>0</v>
      </c>
      <c r="Z281">
        <v>5702.93</v>
      </c>
      <c r="AA281">
        <v>239.13</v>
      </c>
      <c r="AB281">
        <v>0</v>
      </c>
      <c r="AC281">
        <v>109.6</v>
      </c>
      <c r="AD281">
        <v>0.23</v>
      </c>
      <c r="AE281">
        <v>54427.02</v>
      </c>
      <c r="AF281">
        <v>20398</v>
      </c>
      <c r="AG281" t="s">
        <v>130</v>
      </c>
      <c r="AH281" t="s">
        <v>131</v>
      </c>
      <c r="AI281" t="s">
        <v>130</v>
      </c>
      <c r="AJ281" t="s">
        <v>131</v>
      </c>
      <c r="AK281">
        <v>16820</v>
      </c>
      <c r="AL281" t="s">
        <v>50</v>
      </c>
      <c r="AM281">
        <v>3</v>
      </c>
      <c r="AN281">
        <v>3</v>
      </c>
      <c r="AO281">
        <v>2025</v>
      </c>
      <c r="AP281">
        <v>4</v>
      </c>
    </row>
    <row r="282" spans="1:42" x14ac:dyDescent="0.25">
      <c r="A282">
        <v>3169.97</v>
      </c>
      <c r="B282">
        <v>101615.36</v>
      </c>
      <c r="C282">
        <v>17421.46</v>
      </c>
      <c r="D282">
        <v>23149.72</v>
      </c>
      <c r="E282">
        <v>29423.8</v>
      </c>
      <c r="F282">
        <v>174780.31</v>
      </c>
      <c r="G282">
        <v>14603.41</v>
      </c>
      <c r="H282">
        <v>41554.07</v>
      </c>
      <c r="I282">
        <v>14492.18</v>
      </c>
      <c r="J282">
        <v>70649.66</v>
      </c>
      <c r="K282">
        <v>245429.97</v>
      </c>
      <c r="L282">
        <v>125835.54</v>
      </c>
      <c r="M282">
        <v>6708.87</v>
      </c>
      <c r="N282">
        <v>16054.82</v>
      </c>
      <c r="O282">
        <v>3816.01</v>
      </c>
      <c r="P282">
        <v>152415.23000000001</v>
      </c>
      <c r="Q282">
        <v>4619.95</v>
      </c>
      <c r="R282">
        <v>2746.48</v>
      </c>
      <c r="S282">
        <v>1021.91</v>
      </c>
      <c r="T282">
        <v>49449.63</v>
      </c>
      <c r="U282">
        <v>1328.04</v>
      </c>
      <c r="V282">
        <v>960.64</v>
      </c>
      <c r="W282">
        <v>65636.33</v>
      </c>
      <c r="X282">
        <v>125762.99</v>
      </c>
      <c r="Y282">
        <v>13435.4</v>
      </c>
      <c r="Z282">
        <v>47360.86</v>
      </c>
      <c r="AA282">
        <v>28984.87</v>
      </c>
      <c r="AB282">
        <v>2354.67</v>
      </c>
      <c r="AC282">
        <v>16433.5</v>
      </c>
      <c r="AD282">
        <v>1884.85</v>
      </c>
      <c r="AE282">
        <v>634062.34</v>
      </c>
      <c r="AF282">
        <v>19690</v>
      </c>
      <c r="AG282" t="s">
        <v>126</v>
      </c>
      <c r="AH282" t="s">
        <v>127</v>
      </c>
      <c r="AI282" t="s">
        <v>126</v>
      </c>
      <c r="AJ282" t="s">
        <v>127</v>
      </c>
      <c r="AK282">
        <v>5375</v>
      </c>
      <c r="AL282" t="s">
        <v>44</v>
      </c>
      <c r="AM282">
        <v>3</v>
      </c>
      <c r="AN282">
        <v>3</v>
      </c>
      <c r="AO282">
        <v>2025</v>
      </c>
      <c r="AP282">
        <v>1</v>
      </c>
    </row>
    <row r="283" spans="1:42" x14ac:dyDescent="0.25">
      <c r="A283">
        <v>3257.74</v>
      </c>
      <c r="B283">
        <v>300593.59000000003</v>
      </c>
      <c r="C283">
        <v>23726.5</v>
      </c>
      <c r="D283">
        <v>78276.929999999993</v>
      </c>
      <c r="E283">
        <v>79750.84</v>
      </c>
      <c r="F283">
        <v>485605.61</v>
      </c>
      <c r="G283">
        <v>40897.589999999997</v>
      </c>
      <c r="H283">
        <v>102988.83</v>
      </c>
      <c r="I283">
        <v>32819.839999999997</v>
      </c>
      <c r="J283">
        <v>176706.26</v>
      </c>
      <c r="K283">
        <v>662311.87</v>
      </c>
      <c r="L283">
        <v>358985.26</v>
      </c>
      <c r="M283">
        <v>18579.97</v>
      </c>
      <c r="N283">
        <v>30790.07</v>
      </c>
      <c r="O283">
        <v>7951.01</v>
      </c>
      <c r="P283">
        <v>416306.31</v>
      </c>
      <c r="Q283">
        <v>10635.77</v>
      </c>
      <c r="R283">
        <v>1463.88</v>
      </c>
      <c r="S283">
        <v>5479.34</v>
      </c>
      <c r="T283">
        <v>125535.66</v>
      </c>
      <c r="U283">
        <v>4547.3</v>
      </c>
      <c r="V283">
        <v>0</v>
      </c>
      <c r="W283">
        <v>181598.09</v>
      </c>
      <c r="X283">
        <v>329260.03000000003</v>
      </c>
      <c r="Y283">
        <v>43050.31</v>
      </c>
      <c r="Z283">
        <v>98656.960000000006</v>
      </c>
      <c r="AA283">
        <v>109849.64</v>
      </c>
      <c r="AB283">
        <v>12179.73</v>
      </c>
      <c r="AC283">
        <v>12550.16</v>
      </c>
      <c r="AD283">
        <v>562.73</v>
      </c>
      <c r="AE283">
        <v>1684727.74</v>
      </c>
      <c r="AF283">
        <v>20409</v>
      </c>
      <c r="AG283" t="s">
        <v>95</v>
      </c>
      <c r="AH283" t="s">
        <v>96</v>
      </c>
      <c r="AI283" t="s">
        <v>95</v>
      </c>
      <c r="AJ283" t="s">
        <v>96</v>
      </c>
      <c r="AK283">
        <v>6673</v>
      </c>
      <c r="AL283" t="s">
        <v>44</v>
      </c>
      <c r="AM283">
        <v>3</v>
      </c>
      <c r="AN283">
        <v>3</v>
      </c>
      <c r="AO283">
        <v>2025</v>
      </c>
      <c r="AP283">
        <v>2</v>
      </c>
    </row>
    <row r="284" spans="1:42" x14ac:dyDescent="0.25">
      <c r="A284">
        <v>3265.4</v>
      </c>
      <c r="B284">
        <v>6934.68</v>
      </c>
      <c r="F284">
        <v>10200.08</v>
      </c>
      <c r="H284">
        <v>2498.44</v>
      </c>
      <c r="I284">
        <v>681.19</v>
      </c>
      <c r="J284">
        <v>3179.63</v>
      </c>
      <c r="K284">
        <v>13379.71</v>
      </c>
      <c r="L284">
        <v>80.23</v>
      </c>
      <c r="M284">
        <v>2776.88</v>
      </c>
      <c r="P284">
        <v>2857.1</v>
      </c>
      <c r="Q284">
        <v>0.12</v>
      </c>
      <c r="R284">
        <v>30.46</v>
      </c>
      <c r="S284">
        <v>247.07</v>
      </c>
      <c r="T284">
        <v>3556.55</v>
      </c>
      <c r="W284">
        <v>1175.21</v>
      </c>
      <c r="X284">
        <v>5009.3999999999996</v>
      </c>
      <c r="Y284">
        <v>0.69</v>
      </c>
      <c r="Z284">
        <v>404.34</v>
      </c>
      <c r="AA284">
        <v>1398.35</v>
      </c>
      <c r="AB284">
        <v>0</v>
      </c>
      <c r="AC284">
        <v>7375.67</v>
      </c>
      <c r="AE284">
        <v>30425.26</v>
      </c>
      <c r="AF284">
        <v>21754</v>
      </c>
      <c r="AG284" t="s">
        <v>138</v>
      </c>
      <c r="AH284" t="s">
        <v>139</v>
      </c>
      <c r="AI284" t="s">
        <v>138</v>
      </c>
      <c r="AJ284" t="s">
        <v>139</v>
      </c>
      <c r="AK284">
        <v>1207</v>
      </c>
      <c r="AL284" t="s">
        <v>115</v>
      </c>
      <c r="AM284">
        <v>1</v>
      </c>
      <c r="AN284">
        <v>1</v>
      </c>
      <c r="AO284">
        <v>2025</v>
      </c>
      <c r="AP284">
        <v>3</v>
      </c>
    </row>
    <row r="285" spans="1:42" x14ac:dyDescent="0.25">
      <c r="A285">
        <v>3270.88</v>
      </c>
      <c r="B285">
        <v>16808.7</v>
      </c>
      <c r="C285">
        <v>5232.6099999999997</v>
      </c>
      <c r="D285">
        <v>1441.02</v>
      </c>
      <c r="E285">
        <v>4366.28</v>
      </c>
      <c r="F285">
        <v>31119.49</v>
      </c>
      <c r="G285">
        <v>4295.76</v>
      </c>
      <c r="H285">
        <v>2726.67</v>
      </c>
      <c r="I285">
        <v>1607.68</v>
      </c>
      <c r="J285">
        <v>8630.1</v>
      </c>
      <c r="K285">
        <v>39749.589999999997</v>
      </c>
      <c r="L285">
        <v>169.48</v>
      </c>
      <c r="M285">
        <v>11827.53</v>
      </c>
      <c r="N285">
        <v>0.02</v>
      </c>
      <c r="O285">
        <v>779.56</v>
      </c>
      <c r="P285">
        <v>12776.59</v>
      </c>
      <c r="Q285">
        <v>24.39</v>
      </c>
      <c r="R285">
        <v>1.23</v>
      </c>
      <c r="S285">
        <v>927.43</v>
      </c>
      <c r="T285">
        <v>6059.49</v>
      </c>
      <c r="U285">
        <v>0</v>
      </c>
      <c r="V285">
        <v>0</v>
      </c>
      <c r="W285">
        <v>2023.79</v>
      </c>
      <c r="X285">
        <v>9036.33</v>
      </c>
      <c r="Y285">
        <v>2.83</v>
      </c>
      <c r="Z285">
        <v>572.67999999999995</v>
      </c>
      <c r="AA285">
        <v>907.38</v>
      </c>
      <c r="AB285">
        <v>0</v>
      </c>
      <c r="AC285">
        <v>879.31</v>
      </c>
      <c r="AD285">
        <v>0</v>
      </c>
      <c r="AE285">
        <v>63924.72</v>
      </c>
      <c r="AF285">
        <v>20445</v>
      </c>
      <c r="AG285" t="s">
        <v>73</v>
      </c>
      <c r="AH285" t="s">
        <v>74</v>
      </c>
      <c r="AI285" t="s">
        <v>73</v>
      </c>
      <c r="AJ285" t="s">
        <v>74</v>
      </c>
      <c r="AK285">
        <v>6944</v>
      </c>
      <c r="AL285" t="s">
        <v>44</v>
      </c>
      <c r="AM285">
        <v>2</v>
      </c>
      <c r="AN285">
        <v>2</v>
      </c>
      <c r="AO285">
        <v>2025</v>
      </c>
      <c r="AP285">
        <v>4</v>
      </c>
    </row>
    <row r="286" spans="1:42" x14ac:dyDescent="0.25">
      <c r="A286">
        <v>3412.99</v>
      </c>
      <c r="B286">
        <v>50347.42</v>
      </c>
      <c r="C286">
        <v>2029.94</v>
      </c>
      <c r="D286">
        <v>2758.8</v>
      </c>
      <c r="E286">
        <v>9918.14</v>
      </c>
      <c r="F286">
        <v>68467.3</v>
      </c>
      <c r="G286">
        <v>21021.26</v>
      </c>
      <c r="H286">
        <v>16867.490000000002</v>
      </c>
      <c r="I286">
        <v>5802.04</v>
      </c>
      <c r="J286">
        <v>43690.78</v>
      </c>
      <c r="K286">
        <v>112158.08</v>
      </c>
      <c r="L286">
        <v>81187.259999999995</v>
      </c>
      <c r="M286">
        <v>10481.98</v>
      </c>
      <c r="N286">
        <v>136.86000000000001</v>
      </c>
      <c r="O286">
        <v>2942.84</v>
      </c>
      <c r="P286">
        <v>94748.93</v>
      </c>
      <c r="Q286">
        <v>212.66</v>
      </c>
      <c r="R286">
        <v>9186.68</v>
      </c>
      <c r="S286">
        <v>1515.43</v>
      </c>
      <c r="T286">
        <v>14764.12</v>
      </c>
      <c r="U286">
        <v>1218.71</v>
      </c>
      <c r="V286">
        <v>705.67</v>
      </c>
      <c r="W286">
        <v>18494.509999999998</v>
      </c>
      <c r="X286">
        <v>46097.77</v>
      </c>
      <c r="Y286">
        <v>7640.83</v>
      </c>
      <c r="Z286">
        <v>14664.22</v>
      </c>
      <c r="AA286">
        <v>26766.15</v>
      </c>
      <c r="AB286">
        <v>0</v>
      </c>
      <c r="AC286">
        <v>3400.84</v>
      </c>
      <c r="AD286">
        <v>147.03</v>
      </c>
      <c r="AE286">
        <v>305623.84999999998</v>
      </c>
      <c r="AF286">
        <v>20007</v>
      </c>
      <c r="AG286" t="s">
        <v>140</v>
      </c>
      <c r="AH286" t="s">
        <v>141</v>
      </c>
      <c r="AI286" t="s">
        <v>140</v>
      </c>
      <c r="AJ286" t="s">
        <v>141</v>
      </c>
      <c r="AK286">
        <v>6087</v>
      </c>
      <c r="AL286" t="s">
        <v>44</v>
      </c>
      <c r="AM286">
        <v>3</v>
      </c>
      <c r="AN286">
        <v>3</v>
      </c>
      <c r="AO286">
        <v>2025</v>
      </c>
      <c r="AP286">
        <v>1</v>
      </c>
    </row>
    <row r="287" spans="1:42" x14ac:dyDescent="0.25">
      <c r="A287">
        <v>3430</v>
      </c>
      <c r="B287">
        <v>111142</v>
      </c>
      <c r="C287">
        <v>18804</v>
      </c>
      <c r="D287">
        <v>17470</v>
      </c>
      <c r="E287">
        <v>32676</v>
      </c>
      <c r="F287">
        <v>183523</v>
      </c>
      <c r="G287">
        <v>16691</v>
      </c>
      <c r="H287">
        <v>50118</v>
      </c>
      <c r="I287">
        <v>9793</v>
      </c>
      <c r="J287">
        <v>76602</v>
      </c>
      <c r="K287">
        <v>260124</v>
      </c>
      <c r="L287">
        <v>153854</v>
      </c>
      <c r="M287">
        <v>7126</v>
      </c>
      <c r="N287">
        <v>21685</v>
      </c>
      <c r="O287">
        <v>16151</v>
      </c>
      <c r="P287">
        <v>198815</v>
      </c>
      <c r="Q287">
        <v>6074</v>
      </c>
      <c r="R287">
        <v>1786</v>
      </c>
      <c r="S287">
        <v>1336</v>
      </c>
      <c r="T287">
        <v>54615</v>
      </c>
      <c r="U287">
        <v>880</v>
      </c>
      <c r="V287">
        <v>776</v>
      </c>
      <c r="W287">
        <v>48388</v>
      </c>
      <c r="X287">
        <v>113854</v>
      </c>
      <c r="Y287">
        <v>16018</v>
      </c>
      <c r="Z287">
        <v>48245</v>
      </c>
      <c r="AA287">
        <v>40163</v>
      </c>
      <c r="AB287">
        <v>0</v>
      </c>
      <c r="AC287">
        <v>4777</v>
      </c>
      <c r="AD287">
        <v>0</v>
      </c>
      <c r="AE287">
        <v>681997</v>
      </c>
      <c r="AF287">
        <v>19690</v>
      </c>
      <c r="AG287" t="s">
        <v>126</v>
      </c>
      <c r="AH287" t="s">
        <v>127</v>
      </c>
      <c r="AI287" t="s">
        <v>126</v>
      </c>
      <c r="AJ287" t="s">
        <v>127</v>
      </c>
      <c r="AK287">
        <v>5375</v>
      </c>
      <c r="AL287" t="s">
        <v>44</v>
      </c>
      <c r="AM287">
        <v>3</v>
      </c>
      <c r="AN287">
        <v>3</v>
      </c>
      <c r="AO287">
        <v>2025</v>
      </c>
      <c r="AP287">
        <v>4</v>
      </c>
    </row>
    <row r="288" spans="1:42" x14ac:dyDescent="0.25">
      <c r="A288">
        <v>3531.06</v>
      </c>
      <c r="B288">
        <v>10360.629999999999</v>
      </c>
      <c r="C288">
        <v>1771.88</v>
      </c>
      <c r="D288">
        <v>9701.25</v>
      </c>
      <c r="E288">
        <v>1833.9</v>
      </c>
      <c r="F288">
        <v>27198.71</v>
      </c>
      <c r="G288">
        <v>2973.09</v>
      </c>
      <c r="H288">
        <v>3138.05</v>
      </c>
      <c r="I288">
        <v>2075.5100000000002</v>
      </c>
      <c r="J288">
        <v>8186.64</v>
      </c>
      <c r="K288">
        <v>35385.35</v>
      </c>
      <c r="L288">
        <v>0</v>
      </c>
      <c r="M288">
        <v>2075.91</v>
      </c>
      <c r="N288">
        <v>0</v>
      </c>
      <c r="O288">
        <v>347.75</v>
      </c>
      <c r="P288">
        <v>2423.67</v>
      </c>
      <c r="Q288">
        <v>48.17</v>
      </c>
      <c r="R288">
        <v>29.4</v>
      </c>
      <c r="S288">
        <v>147.44</v>
      </c>
      <c r="T288">
        <v>6828.03</v>
      </c>
      <c r="U288">
        <v>0</v>
      </c>
      <c r="V288">
        <v>0</v>
      </c>
      <c r="W288">
        <v>1336.35</v>
      </c>
      <c r="X288">
        <v>8389.3799999999992</v>
      </c>
      <c r="Y288">
        <v>0</v>
      </c>
      <c r="Z288">
        <v>5505.36</v>
      </c>
      <c r="AA288">
        <v>339.85</v>
      </c>
      <c r="AB288">
        <v>0</v>
      </c>
      <c r="AC288">
        <v>139.22999999999999</v>
      </c>
      <c r="AD288">
        <v>0.73</v>
      </c>
      <c r="AE288">
        <v>52183.57</v>
      </c>
      <c r="AF288">
        <v>20398</v>
      </c>
      <c r="AG288" t="s">
        <v>130</v>
      </c>
      <c r="AH288" t="s">
        <v>131</v>
      </c>
      <c r="AI288" t="s">
        <v>130</v>
      </c>
      <c r="AJ288" t="s">
        <v>131</v>
      </c>
      <c r="AK288">
        <v>16820</v>
      </c>
      <c r="AL288" t="s">
        <v>50</v>
      </c>
      <c r="AM288">
        <v>3</v>
      </c>
      <c r="AN288">
        <v>3</v>
      </c>
      <c r="AO288">
        <v>2025</v>
      </c>
      <c r="AP288">
        <v>2</v>
      </c>
    </row>
    <row r="289" spans="1:42" x14ac:dyDescent="0.25">
      <c r="A289">
        <v>3536.61</v>
      </c>
      <c r="B289">
        <v>7166.08</v>
      </c>
      <c r="F289">
        <v>10702.7</v>
      </c>
      <c r="H289">
        <v>1528.36</v>
      </c>
      <c r="I289">
        <v>655.11</v>
      </c>
      <c r="J289">
        <v>2183.4699999999998</v>
      </c>
      <c r="K289">
        <v>12886.16</v>
      </c>
      <c r="L289">
        <v>65.42</v>
      </c>
      <c r="M289">
        <v>4883.63</v>
      </c>
      <c r="P289">
        <v>4949.05</v>
      </c>
      <c r="Q289">
        <v>0</v>
      </c>
      <c r="R289">
        <v>33.119999999999997</v>
      </c>
      <c r="S289">
        <v>248.13</v>
      </c>
      <c r="T289">
        <v>6014.59</v>
      </c>
      <c r="W289">
        <v>2000.38</v>
      </c>
      <c r="X289">
        <v>8296.23</v>
      </c>
      <c r="Y289">
        <v>-43.75</v>
      </c>
      <c r="Z289">
        <v>381.46</v>
      </c>
      <c r="AA289">
        <v>1443.37</v>
      </c>
      <c r="AB289">
        <v>0</v>
      </c>
      <c r="AC289">
        <v>10217.27</v>
      </c>
      <c r="AE289">
        <v>38129.79</v>
      </c>
      <c r="AF289">
        <v>21754</v>
      </c>
      <c r="AG289" t="s">
        <v>138</v>
      </c>
      <c r="AH289" t="s">
        <v>139</v>
      </c>
      <c r="AI289" t="s">
        <v>138</v>
      </c>
      <c r="AJ289" t="s">
        <v>139</v>
      </c>
      <c r="AK289">
        <v>1207</v>
      </c>
      <c r="AL289" t="s">
        <v>115</v>
      </c>
      <c r="AM289">
        <v>1</v>
      </c>
      <c r="AN289">
        <v>1</v>
      </c>
      <c r="AO289">
        <v>2025</v>
      </c>
      <c r="AP289">
        <v>4</v>
      </c>
    </row>
    <row r="290" spans="1:42" x14ac:dyDescent="0.25">
      <c r="A290">
        <v>3611.76</v>
      </c>
      <c r="B290">
        <v>309461.44</v>
      </c>
      <c r="C290">
        <v>23333.93</v>
      </c>
      <c r="D290">
        <v>76811.44</v>
      </c>
      <c r="E290">
        <v>65219.02</v>
      </c>
      <c r="F290">
        <v>478437.59</v>
      </c>
      <c r="G290">
        <v>34438.49</v>
      </c>
      <c r="H290">
        <v>105528.23</v>
      </c>
      <c r="I290">
        <v>40909.11</v>
      </c>
      <c r="J290">
        <v>180875.83</v>
      </c>
      <c r="K290">
        <v>659313.43000000005</v>
      </c>
      <c r="L290">
        <v>367274.49</v>
      </c>
      <c r="M290">
        <v>20358.990000000002</v>
      </c>
      <c r="N290">
        <v>27787.14</v>
      </c>
      <c r="O290">
        <v>7241.63</v>
      </c>
      <c r="P290">
        <v>422662.26</v>
      </c>
      <c r="Q290">
        <v>11448.5</v>
      </c>
      <c r="R290">
        <v>1385.66</v>
      </c>
      <c r="S290">
        <v>5182.59</v>
      </c>
      <c r="T290">
        <v>121755.25</v>
      </c>
      <c r="U290">
        <v>5190.54</v>
      </c>
      <c r="V290">
        <v>0</v>
      </c>
      <c r="W290">
        <v>185697.58</v>
      </c>
      <c r="X290">
        <v>330660.11</v>
      </c>
      <c r="Y290">
        <v>40388.519999999997</v>
      </c>
      <c r="Z290">
        <v>94285.14</v>
      </c>
      <c r="AA290">
        <v>109690.44</v>
      </c>
      <c r="AB290">
        <v>12402.57</v>
      </c>
      <c r="AC290">
        <v>17145.22</v>
      </c>
      <c r="AD290">
        <v>254.27</v>
      </c>
      <c r="AE290">
        <v>1686801.95</v>
      </c>
      <c r="AF290">
        <v>20409</v>
      </c>
      <c r="AG290" t="s">
        <v>95</v>
      </c>
      <c r="AH290" t="s">
        <v>96</v>
      </c>
      <c r="AI290" t="s">
        <v>95</v>
      </c>
      <c r="AJ290" t="s">
        <v>96</v>
      </c>
      <c r="AK290">
        <v>6673</v>
      </c>
      <c r="AL290" t="s">
        <v>44</v>
      </c>
      <c r="AM290">
        <v>3</v>
      </c>
      <c r="AN290">
        <v>3</v>
      </c>
      <c r="AO290">
        <v>2025</v>
      </c>
      <c r="AP290">
        <v>1</v>
      </c>
    </row>
    <row r="291" spans="1:42" x14ac:dyDescent="0.25">
      <c r="A291">
        <v>3638.91</v>
      </c>
      <c r="B291">
        <v>197304.86</v>
      </c>
      <c r="C291">
        <v>16284.08</v>
      </c>
      <c r="D291">
        <v>63983.92</v>
      </c>
      <c r="E291">
        <v>76359.94</v>
      </c>
      <c r="F291">
        <v>357571.7</v>
      </c>
      <c r="G291">
        <v>30622.55</v>
      </c>
      <c r="H291">
        <v>96450.31</v>
      </c>
      <c r="I291">
        <v>35299.85</v>
      </c>
      <c r="J291">
        <v>162372.70000000001</v>
      </c>
      <c r="K291">
        <v>519944.4</v>
      </c>
      <c r="L291">
        <v>281844.02</v>
      </c>
      <c r="M291">
        <v>23196.17</v>
      </c>
      <c r="N291">
        <v>35624.14</v>
      </c>
      <c r="O291">
        <v>8143.51</v>
      </c>
      <c r="P291">
        <v>348807.84</v>
      </c>
      <c r="Q291">
        <v>6143.73</v>
      </c>
      <c r="R291">
        <v>22666.05</v>
      </c>
      <c r="S291">
        <v>3335.89</v>
      </c>
      <c r="T291">
        <v>53597.26</v>
      </c>
      <c r="U291">
        <v>11743.38</v>
      </c>
      <c r="V291">
        <v>305.35000000000002</v>
      </c>
      <c r="W291">
        <v>136776.53</v>
      </c>
      <c r="X291">
        <v>234568.19</v>
      </c>
      <c r="Y291">
        <v>35491.99</v>
      </c>
      <c r="Z291">
        <v>59579.55</v>
      </c>
      <c r="AA291">
        <v>76544.27</v>
      </c>
      <c r="AB291">
        <v>2643.52</v>
      </c>
      <c r="AC291">
        <v>2309.8000000000002</v>
      </c>
      <c r="AD291">
        <v>64027.63</v>
      </c>
      <c r="AE291">
        <v>1343917.19</v>
      </c>
      <c r="AF291">
        <v>19977</v>
      </c>
      <c r="AG291" t="s">
        <v>142</v>
      </c>
      <c r="AH291" t="s">
        <v>143</v>
      </c>
      <c r="AI291" t="s">
        <v>142</v>
      </c>
      <c r="AJ291" t="s">
        <v>143</v>
      </c>
      <c r="AK291">
        <v>10876</v>
      </c>
      <c r="AL291" t="s">
        <v>50</v>
      </c>
      <c r="AM291">
        <v>3</v>
      </c>
      <c r="AN291">
        <v>3</v>
      </c>
      <c r="AO291">
        <v>2025</v>
      </c>
      <c r="AP291">
        <v>1</v>
      </c>
    </row>
    <row r="292" spans="1:42" x14ac:dyDescent="0.25">
      <c r="A292">
        <v>3876.54</v>
      </c>
      <c r="B292">
        <v>161262.09</v>
      </c>
      <c r="C292">
        <v>14268.19</v>
      </c>
      <c r="D292">
        <v>58660.01</v>
      </c>
      <c r="E292">
        <v>83530.92</v>
      </c>
      <c r="F292">
        <v>321597.75</v>
      </c>
      <c r="G292">
        <v>27725.03</v>
      </c>
      <c r="H292">
        <v>81281.91</v>
      </c>
      <c r="I292">
        <v>19350.7</v>
      </c>
      <c r="J292">
        <v>128357.63</v>
      </c>
      <c r="K292">
        <v>449955.38</v>
      </c>
      <c r="L292">
        <v>226581.6</v>
      </c>
      <c r="M292">
        <v>18426.580000000002</v>
      </c>
      <c r="N292">
        <v>31326.86</v>
      </c>
      <c r="O292">
        <v>10205.48</v>
      </c>
      <c r="P292">
        <v>286540.52</v>
      </c>
      <c r="Q292">
        <v>5011.78</v>
      </c>
      <c r="R292">
        <v>23822.12</v>
      </c>
      <c r="S292">
        <v>2683.29</v>
      </c>
      <c r="T292">
        <v>42073.35</v>
      </c>
      <c r="U292">
        <v>9868.64</v>
      </c>
      <c r="V292">
        <v>210.46</v>
      </c>
      <c r="W292">
        <v>116712.76</v>
      </c>
      <c r="X292">
        <v>200382.39</v>
      </c>
      <c r="Y292">
        <v>31393.99</v>
      </c>
      <c r="Z292">
        <v>54523.44</v>
      </c>
      <c r="AA292">
        <v>57990.79</v>
      </c>
      <c r="AB292">
        <v>2298.0100000000002</v>
      </c>
      <c r="AC292">
        <v>10239.450000000001</v>
      </c>
      <c r="AD292">
        <v>61555.99</v>
      </c>
      <c r="AE292">
        <v>1154879.96</v>
      </c>
      <c r="AF292">
        <v>19977</v>
      </c>
      <c r="AG292" t="s">
        <v>142</v>
      </c>
      <c r="AH292" t="s">
        <v>143</v>
      </c>
      <c r="AI292" t="s">
        <v>142</v>
      </c>
      <c r="AJ292" t="s">
        <v>143</v>
      </c>
      <c r="AK292">
        <v>10876</v>
      </c>
      <c r="AL292" t="s">
        <v>50</v>
      </c>
      <c r="AM292">
        <v>3</v>
      </c>
      <c r="AN292">
        <v>3</v>
      </c>
      <c r="AO292">
        <v>2025</v>
      </c>
      <c r="AP292">
        <v>3</v>
      </c>
    </row>
    <row r="293" spans="1:42" x14ac:dyDescent="0.25">
      <c r="A293">
        <v>3900</v>
      </c>
      <c r="B293">
        <v>183166.36</v>
      </c>
      <c r="C293">
        <v>17088.330000000002</v>
      </c>
      <c r="D293">
        <v>66918.320000000007</v>
      </c>
      <c r="E293">
        <v>87070.15</v>
      </c>
      <c r="F293">
        <v>358143.17</v>
      </c>
      <c r="G293">
        <v>29956.560000000001</v>
      </c>
      <c r="H293">
        <v>92720.31</v>
      </c>
      <c r="I293">
        <v>18823.75</v>
      </c>
      <c r="J293">
        <v>141500.63</v>
      </c>
      <c r="K293">
        <v>499643.8</v>
      </c>
      <c r="L293">
        <v>249831.15</v>
      </c>
      <c r="M293">
        <v>25353.77</v>
      </c>
      <c r="N293">
        <v>36869.25</v>
      </c>
      <c r="O293">
        <v>10422.49</v>
      </c>
      <c r="P293">
        <v>322476.65000000002</v>
      </c>
      <c r="Q293">
        <v>7246.72</v>
      </c>
      <c r="R293">
        <v>26892.97</v>
      </c>
      <c r="S293">
        <v>3134.09</v>
      </c>
      <c r="T293">
        <v>53626.44</v>
      </c>
      <c r="U293">
        <v>12107.29</v>
      </c>
      <c r="V293">
        <v>220.46</v>
      </c>
      <c r="W293">
        <v>128754.41</v>
      </c>
      <c r="X293">
        <v>231982.37</v>
      </c>
      <c r="Y293">
        <v>33868.660000000003</v>
      </c>
      <c r="Z293">
        <v>63752.58</v>
      </c>
      <c r="AA293">
        <v>66453.05</v>
      </c>
      <c r="AB293">
        <v>3269.53</v>
      </c>
      <c r="AC293">
        <v>10294.98</v>
      </c>
      <c r="AD293">
        <v>65579.87</v>
      </c>
      <c r="AE293">
        <v>1297321.48</v>
      </c>
      <c r="AF293">
        <v>19977</v>
      </c>
      <c r="AG293" t="s">
        <v>142</v>
      </c>
      <c r="AH293" t="s">
        <v>143</v>
      </c>
      <c r="AI293" t="s">
        <v>142</v>
      </c>
      <c r="AJ293" t="s">
        <v>143</v>
      </c>
      <c r="AK293">
        <v>10876</v>
      </c>
      <c r="AL293" t="s">
        <v>50</v>
      </c>
      <c r="AM293">
        <v>3</v>
      </c>
      <c r="AN293">
        <v>3</v>
      </c>
      <c r="AO293">
        <v>2025</v>
      </c>
      <c r="AP293">
        <v>4</v>
      </c>
    </row>
    <row r="294" spans="1:42" x14ac:dyDescent="0.25">
      <c r="A294">
        <v>3969</v>
      </c>
      <c r="B294">
        <v>14451</v>
      </c>
      <c r="C294">
        <v>2495</v>
      </c>
      <c r="D294">
        <v>15351</v>
      </c>
      <c r="E294">
        <v>11424</v>
      </c>
      <c r="F294">
        <v>47690</v>
      </c>
      <c r="G294">
        <v>1063</v>
      </c>
      <c r="H294">
        <v>5918</v>
      </c>
      <c r="I294">
        <v>4172</v>
      </c>
      <c r="J294">
        <v>11153</v>
      </c>
      <c r="K294">
        <v>58843</v>
      </c>
      <c r="L294">
        <v>22694</v>
      </c>
      <c r="M294">
        <v>7801</v>
      </c>
      <c r="O294">
        <v>3210</v>
      </c>
      <c r="P294">
        <v>33705</v>
      </c>
      <c r="Q294">
        <v>569</v>
      </c>
      <c r="R294">
        <v>3279</v>
      </c>
      <c r="S294">
        <v>925</v>
      </c>
      <c r="T294">
        <v>275</v>
      </c>
      <c r="V294">
        <v>19</v>
      </c>
      <c r="W294">
        <v>19384</v>
      </c>
      <c r="X294">
        <v>24451</v>
      </c>
      <c r="Y294">
        <v>1237</v>
      </c>
      <c r="Z294">
        <v>19425</v>
      </c>
      <c r="AA294">
        <v>25950</v>
      </c>
      <c r="AB294">
        <v>0</v>
      </c>
      <c r="AC294">
        <v>6987</v>
      </c>
      <c r="AD294">
        <v>169001</v>
      </c>
      <c r="AE294">
        <v>339599</v>
      </c>
      <c r="AF294">
        <v>20107</v>
      </c>
      <c r="AG294" t="s">
        <v>144</v>
      </c>
      <c r="AH294" t="s">
        <v>145</v>
      </c>
      <c r="AI294" t="s">
        <v>144</v>
      </c>
      <c r="AJ294" t="s">
        <v>145</v>
      </c>
      <c r="AK294">
        <v>16195</v>
      </c>
      <c r="AL294" t="s">
        <v>50</v>
      </c>
      <c r="AM294">
        <v>3</v>
      </c>
      <c r="AN294">
        <v>3</v>
      </c>
      <c r="AO294">
        <v>2025</v>
      </c>
      <c r="AP294">
        <v>1</v>
      </c>
    </row>
    <row r="295" spans="1:42" x14ac:dyDescent="0.25">
      <c r="A295">
        <v>3988</v>
      </c>
      <c r="B295">
        <v>105414</v>
      </c>
      <c r="C295">
        <v>18692</v>
      </c>
      <c r="D295">
        <v>16467</v>
      </c>
      <c r="E295">
        <v>37991</v>
      </c>
      <c r="F295">
        <v>182552</v>
      </c>
      <c r="G295">
        <v>18600</v>
      </c>
      <c r="H295">
        <v>45839</v>
      </c>
      <c r="I295">
        <v>9886</v>
      </c>
      <c r="J295">
        <v>74325</v>
      </c>
      <c r="K295">
        <v>256877</v>
      </c>
      <c r="L295">
        <v>154773</v>
      </c>
      <c r="M295">
        <v>8398</v>
      </c>
      <c r="N295">
        <v>22648</v>
      </c>
      <c r="O295">
        <v>20427</v>
      </c>
      <c r="P295">
        <v>206245</v>
      </c>
      <c r="Q295">
        <v>5665</v>
      </c>
      <c r="R295">
        <v>2085</v>
      </c>
      <c r="S295">
        <v>1351</v>
      </c>
      <c r="T295">
        <v>64908</v>
      </c>
      <c r="U295">
        <v>1265</v>
      </c>
      <c r="V295">
        <v>584</v>
      </c>
      <c r="W295">
        <v>54531</v>
      </c>
      <c r="X295">
        <v>130389</v>
      </c>
      <c r="Y295">
        <v>16798</v>
      </c>
      <c r="Z295">
        <v>54696</v>
      </c>
      <c r="AA295">
        <v>45263</v>
      </c>
      <c r="AB295">
        <v>0</v>
      </c>
      <c r="AC295">
        <v>8440</v>
      </c>
      <c r="AD295">
        <v>159</v>
      </c>
      <c r="AE295">
        <v>718867</v>
      </c>
      <c r="AF295">
        <v>19690</v>
      </c>
      <c r="AG295" t="s">
        <v>126</v>
      </c>
      <c r="AH295" t="s">
        <v>127</v>
      </c>
      <c r="AI295" t="s">
        <v>126</v>
      </c>
      <c r="AJ295" t="s">
        <v>127</v>
      </c>
      <c r="AK295">
        <v>5375</v>
      </c>
      <c r="AL295" t="s">
        <v>44</v>
      </c>
      <c r="AM295">
        <v>3</v>
      </c>
      <c r="AN295">
        <v>3</v>
      </c>
      <c r="AO295">
        <v>2025</v>
      </c>
      <c r="AP295">
        <v>3</v>
      </c>
    </row>
    <row r="296" spans="1:42" x14ac:dyDescent="0.25">
      <c r="A296">
        <v>4141.8100000000004</v>
      </c>
      <c r="B296">
        <v>42120.68</v>
      </c>
      <c r="C296">
        <v>1531.39</v>
      </c>
      <c r="D296">
        <v>2079.62</v>
      </c>
      <c r="E296">
        <v>8315.3799999999992</v>
      </c>
      <c r="F296">
        <v>58188.88</v>
      </c>
      <c r="G296">
        <v>21214.240000000002</v>
      </c>
      <c r="H296">
        <v>12699</v>
      </c>
      <c r="I296">
        <v>2833.84</v>
      </c>
      <c r="J296">
        <v>36747.08</v>
      </c>
      <c r="K296">
        <v>94935.96</v>
      </c>
      <c r="L296">
        <v>81240.539999999994</v>
      </c>
      <c r="M296">
        <v>7740.14</v>
      </c>
      <c r="N296">
        <v>155.66</v>
      </c>
      <c r="O296">
        <v>2527.67</v>
      </c>
      <c r="P296">
        <v>91664.02</v>
      </c>
      <c r="Q296">
        <v>141.59</v>
      </c>
      <c r="R296">
        <v>9678.3700000000008</v>
      </c>
      <c r="S296">
        <v>1234.3900000000001</v>
      </c>
      <c r="T296">
        <v>13171.7</v>
      </c>
      <c r="U296">
        <v>1235.74</v>
      </c>
      <c r="V296">
        <v>-335.73</v>
      </c>
      <c r="W296">
        <v>16060.77</v>
      </c>
      <c r="X296">
        <v>41186.81</v>
      </c>
      <c r="Y296">
        <v>7481.36</v>
      </c>
      <c r="Z296">
        <v>15334</v>
      </c>
      <c r="AA296">
        <v>21884.31</v>
      </c>
      <c r="AB296">
        <v>0</v>
      </c>
      <c r="AC296">
        <v>1362.77</v>
      </c>
      <c r="AD296">
        <v>219.91</v>
      </c>
      <c r="AE296">
        <v>274069.12</v>
      </c>
      <c r="AF296">
        <v>20007</v>
      </c>
      <c r="AG296" t="s">
        <v>140</v>
      </c>
      <c r="AH296" t="s">
        <v>141</v>
      </c>
      <c r="AI296" t="s">
        <v>140</v>
      </c>
      <c r="AJ296" t="s">
        <v>141</v>
      </c>
      <c r="AK296">
        <v>6087</v>
      </c>
      <c r="AL296" t="s">
        <v>44</v>
      </c>
      <c r="AM296">
        <v>3</v>
      </c>
      <c r="AN296">
        <v>3</v>
      </c>
      <c r="AO296">
        <v>2025</v>
      </c>
      <c r="AP296">
        <v>3</v>
      </c>
    </row>
    <row r="297" spans="1:42" x14ac:dyDescent="0.25">
      <c r="A297">
        <v>4172</v>
      </c>
      <c r="B297">
        <v>196952</v>
      </c>
      <c r="C297">
        <v>27627</v>
      </c>
      <c r="D297">
        <v>65324</v>
      </c>
      <c r="E297">
        <v>71643</v>
      </c>
      <c r="F297">
        <v>365718</v>
      </c>
      <c r="G297">
        <v>31398</v>
      </c>
      <c r="H297">
        <v>96269</v>
      </c>
      <c r="I297">
        <v>22855</v>
      </c>
      <c r="J297">
        <v>150522</v>
      </c>
      <c r="K297">
        <v>516240</v>
      </c>
      <c r="L297">
        <v>256187</v>
      </c>
      <c r="M297">
        <v>30879</v>
      </c>
      <c r="N297">
        <v>43032</v>
      </c>
      <c r="O297">
        <v>14608</v>
      </c>
      <c r="P297">
        <v>344706</v>
      </c>
      <c r="Q297">
        <v>9703</v>
      </c>
      <c r="R297">
        <v>9566</v>
      </c>
      <c r="S297">
        <v>3432</v>
      </c>
      <c r="T297">
        <v>53752</v>
      </c>
      <c r="U297">
        <v>13729</v>
      </c>
      <c r="V297">
        <v>499</v>
      </c>
      <c r="W297">
        <v>162995</v>
      </c>
      <c r="X297">
        <v>253676</v>
      </c>
      <c r="Y297">
        <v>28703</v>
      </c>
      <c r="Z297">
        <v>82392</v>
      </c>
      <c r="AA297">
        <v>62290</v>
      </c>
      <c r="AB297">
        <v>11784</v>
      </c>
      <c r="AC297">
        <v>14950</v>
      </c>
      <c r="AD297">
        <v>45185</v>
      </c>
      <c r="AE297">
        <v>1359926</v>
      </c>
      <c r="AF297">
        <v>19790</v>
      </c>
      <c r="AG297" t="s">
        <v>134</v>
      </c>
      <c r="AH297" t="s">
        <v>135</v>
      </c>
      <c r="AI297" t="s">
        <v>134</v>
      </c>
      <c r="AJ297" t="s">
        <v>135</v>
      </c>
      <c r="AK297">
        <v>10260</v>
      </c>
      <c r="AL297" t="s">
        <v>50</v>
      </c>
      <c r="AM297">
        <v>3</v>
      </c>
      <c r="AN297">
        <v>3</v>
      </c>
      <c r="AO297">
        <v>2025</v>
      </c>
      <c r="AP297">
        <v>1</v>
      </c>
    </row>
    <row r="298" spans="1:42" x14ac:dyDescent="0.25">
      <c r="A298">
        <v>4219.8900000000003</v>
      </c>
      <c r="B298">
        <v>48654.879999999997</v>
      </c>
      <c r="C298">
        <v>1684.15</v>
      </c>
      <c r="D298">
        <v>2427.23</v>
      </c>
      <c r="E298">
        <v>8651.7999999999993</v>
      </c>
      <c r="F298">
        <v>65637.95</v>
      </c>
      <c r="G298">
        <v>22626.93</v>
      </c>
      <c r="H298">
        <v>13197.33</v>
      </c>
      <c r="I298">
        <v>2821.24</v>
      </c>
      <c r="J298">
        <v>38645.5</v>
      </c>
      <c r="K298">
        <v>104283.45</v>
      </c>
      <c r="L298">
        <v>97356.93</v>
      </c>
      <c r="M298">
        <v>9857.07</v>
      </c>
      <c r="N298">
        <v>76.58</v>
      </c>
      <c r="O298">
        <v>3253.67</v>
      </c>
      <c r="P298">
        <v>110544.26</v>
      </c>
      <c r="Q298">
        <v>105.88</v>
      </c>
      <c r="R298">
        <v>10767.45</v>
      </c>
      <c r="S298">
        <v>1344.04</v>
      </c>
      <c r="T298">
        <v>18045.75</v>
      </c>
      <c r="U298">
        <v>874.79</v>
      </c>
      <c r="V298">
        <v>155.30000000000001</v>
      </c>
      <c r="W298">
        <v>19560.38</v>
      </c>
      <c r="X298">
        <v>50853.58</v>
      </c>
      <c r="Y298">
        <v>8611.33</v>
      </c>
      <c r="Z298">
        <v>17221.43</v>
      </c>
      <c r="AA298">
        <v>27046.560000000001</v>
      </c>
      <c r="AB298">
        <v>0</v>
      </c>
      <c r="AC298">
        <v>1101.26</v>
      </c>
      <c r="AD298">
        <v>272.13</v>
      </c>
      <c r="AE298">
        <v>319934.53000000003</v>
      </c>
      <c r="AF298">
        <v>20007</v>
      </c>
      <c r="AG298" t="s">
        <v>140</v>
      </c>
      <c r="AH298" t="s">
        <v>141</v>
      </c>
      <c r="AI298" t="s">
        <v>140</v>
      </c>
      <c r="AJ298" t="s">
        <v>141</v>
      </c>
      <c r="AK298">
        <v>6087</v>
      </c>
      <c r="AL298" t="s">
        <v>44</v>
      </c>
      <c r="AM298">
        <v>3</v>
      </c>
      <c r="AN298">
        <v>3</v>
      </c>
      <c r="AO298">
        <v>2025</v>
      </c>
      <c r="AP298">
        <v>4</v>
      </c>
    </row>
    <row r="299" spans="1:42" x14ac:dyDescent="0.25">
      <c r="A299">
        <v>4309.0200000000004</v>
      </c>
      <c r="B299">
        <v>8208.27</v>
      </c>
      <c r="C299">
        <v>3420.56</v>
      </c>
      <c r="D299">
        <v>0</v>
      </c>
      <c r="E299">
        <v>0</v>
      </c>
      <c r="F299">
        <v>15937.84</v>
      </c>
      <c r="G299">
        <v>538.37</v>
      </c>
      <c r="H299">
        <v>1079.3900000000001</v>
      </c>
      <c r="I299">
        <v>1238.52</v>
      </c>
      <c r="J299">
        <v>2856.28</v>
      </c>
      <c r="K299">
        <v>18794.13</v>
      </c>
      <c r="L299">
        <v>7404.79</v>
      </c>
      <c r="M299">
        <v>3851.79</v>
      </c>
      <c r="N299">
        <v>309.56</v>
      </c>
      <c r="O299">
        <v>0</v>
      </c>
      <c r="P299">
        <v>11566.14</v>
      </c>
      <c r="Q299">
        <v>13.3</v>
      </c>
      <c r="R299">
        <v>0</v>
      </c>
      <c r="S299">
        <v>1260.53</v>
      </c>
      <c r="T299">
        <v>67.19</v>
      </c>
      <c r="U299">
        <v>0</v>
      </c>
      <c r="V299">
        <v>0</v>
      </c>
      <c r="W299">
        <v>1458.83</v>
      </c>
      <c r="X299">
        <v>2799.85</v>
      </c>
      <c r="Y299">
        <v>429.63</v>
      </c>
      <c r="Z299">
        <v>15785.82</v>
      </c>
      <c r="AA299">
        <v>1814.96</v>
      </c>
      <c r="AB299">
        <v>432.62</v>
      </c>
      <c r="AC299">
        <v>7226.55</v>
      </c>
      <c r="AD299">
        <v>4641.84</v>
      </c>
      <c r="AE299">
        <v>63491.53</v>
      </c>
      <c r="AF299">
        <v>22085</v>
      </c>
      <c r="AG299" t="s">
        <v>146</v>
      </c>
      <c r="AH299" t="s">
        <v>147</v>
      </c>
      <c r="AI299" t="s">
        <v>146</v>
      </c>
      <c r="AJ299" t="s">
        <v>147</v>
      </c>
      <c r="AK299">
        <v>1227</v>
      </c>
      <c r="AL299" t="s">
        <v>115</v>
      </c>
      <c r="AM299">
        <v>2</v>
      </c>
      <c r="AN299">
        <v>2</v>
      </c>
      <c r="AO299">
        <v>2025</v>
      </c>
      <c r="AP299">
        <v>1</v>
      </c>
    </row>
    <row r="300" spans="1:42" x14ac:dyDescent="0.25">
      <c r="A300">
        <v>4394</v>
      </c>
      <c r="B300">
        <v>13994</v>
      </c>
      <c r="C300">
        <v>2889</v>
      </c>
      <c r="D300">
        <v>14518</v>
      </c>
      <c r="E300">
        <v>12153</v>
      </c>
      <c r="F300">
        <v>47948</v>
      </c>
      <c r="G300">
        <v>1119</v>
      </c>
      <c r="H300">
        <v>5483</v>
      </c>
      <c r="I300">
        <v>4245</v>
      </c>
      <c r="J300">
        <v>10847</v>
      </c>
      <c r="K300">
        <v>58795</v>
      </c>
      <c r="L300">
        <v>21221</v>
      </c>
      <c r="M300">
        <v>8973</v>
      </c>
      <c r="O300">
        <v>2948</v>
      </c>
      <c r="P300">
        <v>33142</v>
      </c>
      <c r="Q300">
        <v>555</v>
      </c>
      <c r="R300">
        <v>2903</v>
      </c>
      <c r="S300">
        <v>1151</v>
      </c>
      <c r="T300">
        <v>260</v>
      </c>
      <c r="V300">
        <v>10</v>
      </c>
      <c r="W300">
        <v>18753</v>
      </c>
      <c r="X300">
        <v>23632</v>
      </c>
      <c r="Y300">
        <v>2223</v>
      </c>
      <c r="Z300">
        <v>23065</v>
      </c>
      <c r="AA300">
        <v>26920</v>
      </c>
      <c r="AB300">
        <v>2</v>
      </c>
      <c r="AC300">
        <v>10927</v>
      </c>
      <c r="AD300">
        <v>163888</v>
      </c>
      <c r="AE300">
        <v>342594</v>
      </c>
      <c r="AF300">
        <v>20107</v>
      </c>
      <c r="AG300" t="s">
        <v>144</v>
      </c>
      <c r="AH300" t="s">
        <v>145</v>
      </c>
      <c r="AI300" t="s">
        <v>144</v>
      </c>
      <c r="AJ300" t="s">
        <v>145</v>
      </c>
      <c r="AK300">
        <v>16195</v>
      </c>
      <c r="AL300" t="s">
        <v>50</v>
      </c>
      <c r="AM300">
        <v>3</v>
      </c>
      <c r="AN300">
        <v>3</v>
      </c>
      <c r="AO300">
        <v>2025</v>
      </c>
      <c r="AP300">
        <v>2</v>
      </c>
    </row>
    <row r="301" spans="1:42" x14ac:dyDescent="0.25">
      <c r="A301">
        <v>4481</v>
      </c>
      <c r="B301">
        <v>13549</v>
      </c>
      <c r="C301">
        <v>2791</v>
      </c>
      <c r="D301">
        <v>13994</v>
      </c>
      <c r="E301">
        <v>11012</v>
      </c>
      <c r="F301">
        <v>45827</v>
      </c>
      <c r="G301">
        <v>1060</v>
      </c>
      <c r="H301">
        <v>5558</v>
      </c>
      <c r="I301">
        <v>4172</v>
      </c>
      <c r="J301">
        <v>10790</v>
      </c>
      <c r="K301">
        <v>56617</v>
      </c>
      <c r="L301">
        <v>22542</v>
      </c>
      <c r="M301">
        <v>9176</v>
      </c>
      <c r="O301">
        <v>2806</v>
      </c>
      <c r="P301">
        <v>34524</v>
      </c>
      <c r="Q301">
        <v>384</v>
      </c>
      <c r="R301">
        <v>3231</v>
      </c>
      <c r="S301">
        <v>943</v>
      </c>
      <c r="T301">
        <v>175</v>
      </c>
      <c r="V301">
        <v>14</v>
      </c>
      <c r="W301">
        <v>22762</v>
      </c>
      <c r="X301">
        <v>27509</v>
      </c>
      <c r="Y301">
        <v>1610</v>
      </c>
      <c r="Z301">
        <v>18747</v>
      </c>
      <c r="AA301">
        <v>28466</v>
      </c>
      <c r="AB301">
        <v>1</v>
      </c>
      <c r="AC301">
        <v>8566</v>
      </c>
      <c r="AD301">
        <v>180378</v>
      </c>
      <c r="AE301">
        <v>356418</v>
      </c>
      <c r="AF301">
        <v>20107</v>
      </c>
      <c r="AG301" t="s">
        <v>144</v>
      </c>
      <c r="AH301" t="s">
        <v>145</v>
      </c>
      <c r="AI301" t="s">
        <v>144</v>
      </c>
      <c r="AJ301" t="s">
        <v>145</v>
      </c>
      <c r="AK301">
        <v>16195</v>
      </c>
      <c r="AL301" t="s">
        <v>50</v>
      </c>
      <c r="AM301">
        <v>3</v>
      </c>
      <c r="AN301">
        <v>3</v>
      </c>
      <c r="AO301">
        <v>2025</v>
      </c>
      <c r="AP301">
        <v>3</v>
      </c>
    </row>
    <row r="302" spans="1:42" x14ac:dyDescent="0.25">
      <c r="A302">
        <v>4527</v>
      </c>
      <c r="B302">
        <v>13083</v>
      </c>
      <c r="C302">
        <v>3049</v>
      </c>
      <c r="D302">
        <v>15509</v>
      </c>
      <c r="E302">
        <v>11632</v>
      </c>
      <c r="F302">
        <v>47800</v>
      </c>
      <c r="G302">
        <v>1452</v>
      </c>
      <c r="H302">
        <v>6178</v>
      </c>
      <c r="I302">
        <v>4360</v>
      </c>
      <c r="J302">
        <v>11990</v>
      </c>
      <c r="K302">
        <v>59790</v>
      </c>
      <c r="L302">
        <v>20987</v>
      </c>
      <c r="M302">
        <v>10474</v>
      </c>
      <c r="O302">
        <v>3110</v>
      </c>
      <c r="P302">
        <v>34571</v>
      </c>
      <c r="Q302">
        <v>633</v>
      </c>
      <c r="R302">
        <v>3151</v>
      </c>
      <c r="S302">
        <v>987</v>
      </c>
      <c r="T302">
        <v>469</v>
      </c>
      <c r="V302">
        <v>7</v>
      </c>
      <c r="W302">
        <v>26074</v>
      </c>
      <c r="X302">
        <v>31321</v>
      </c>
      <c r="Y302">
        <v>2061</v>
      </c>
      <c r="Z302">
        <v>20291</v>
      </c>
      <c r="AA302">
        <v>24957</v>
      </c>
      <c r="AB302">
        <v>6</v>
      </c>
      <c r="AC302">
        <v>7241</v>
      </c>
      <c r="AD302">
        <v>181783</v>
      </c>
      <c r="AE302">
        <v>362021</v>
      </c>
      <c r="AF302">
        <v>20107</v>
      </c>
      <c r="AG302" t="s">
        <v>144</v>
      </c>
      <c r="AH302" t="s">
        <v>145</v>
      </c>
      <c r="AI302" t="s">
        <v>144</v>
      </c>
      <c r="AJ302" t="s">
        <v>145</v>
      </c>
      <c r="AK302">
        <v>16195</v>
      </c>
      <c r="AL302" t="s">
        <v>50</v>
      </c>
      <c r="AM302">
        <v>3</v>
      </c>
      <c r="AN302">
        <v>3</v>
      </c>
      <c r="AO302">
        <v>2025</v>
      </c>
      <c r="AP302">
        <v>4</v>
      </c>
    </row>
    <row r="303" spans="1:42" x14ac:dyDescent="0.25">
      <c r="A303">
        <v>4693.5200000000004</v>
      </c>
      <c r="B303">
        <v>7980.48</v>
      </c>
      <c r="C303">
        <v>3711.71</v>
      </c>
      <c r="D303">
        <v>0</v>
      </c>
      <c r="E303">
        <v>0</v>
      </c>
      <c r="F303">
        <v>16385.71</v>
      </c>
      <c r="G303">
        <v>800.6</v>
      </c>
      <c r="H303">
        <v>1514.21</v>
      </c>
      <c r="I303">
        <v>1205.6300000000001</v>
      </c>
      <c r="J303">
        <v>3520.43</v>
      </c>
      <c r="K303">
        <v>19906.14</v>
      </c>
      <c r="L303">
        <v>3037.91</v>
      </c>
      <c r="M303">
        <v>5408.99</v>
      </c>
      <c r="N303">
        <v>314.60000000000002</v>
      </c>
      <c r="O303">
        <v>0</v>
      </c>
      <c r="P303">
        <v>8761.49</v>
      </c>
      <c r="Q303">
        <v>12.64</v>
      </c>
      <c r="R303">
        <v>0</v>
      </c>
      <c r="S303">
        <v>1276.19</v>
      </c>
      <c r="T303">
        <v>8.56</v>
      </c>
      <c r="U303">
        <v>0</v>
      </c>
      <c r="V303">
        <v>0</v>
      </c>
      <c r="W303">
        <v>1603.43</v>
      </c>
      <c r="X303">
        <v>2900.81</v>
      </c>
      <c r="Y303">
        <v>242.94</v>
      </c>
      <c r="Z303">
        <v>14386.31</v>
      </c>
      <c r="AA303">
        <v>2043.54</v>
      </c>
      <c r="AB303">
        <v>563.70000000000005</v>
      </c>
      <c r="AC303">
        <v>6483.37</v>
      </c>
      <c r="AD303">
        <v>2811.73</v>
      </c>
      <c r="AE303">
        <v>58100.04</v>
      </c>
      <c r="AF303">
        <v>22085</v>
      </c>
      <c r="AG303" t="s">
        <v>146</v>
      </c>
      <c r="AH303" t="s">
        <v>147</v>
      </c>
      <c r="AI303" t="s">
        <v>146</v>
      </c>
      <c r="AJ303" t="s">
        <v>147</v>
      </c>
      <c r="AK303">
        <v>1287</v>
      </c>
      <c r="AL303" t="s">
        <v>44</v>
      </c>
      <c r="AM303">
        <v>2</v>
      </c>
      <c r="AN303">
        <v>2</v>
      </c>
      <c r="AO303">
        <v>2025</v>
      </c>
      <c r="AP303">
        <v>2</v>
      </c>
    </row>
    <row r="304" spans="1:42" x14ac:dyDescent="0.25">
      <c r="A304">
        <v>4705.67</v>
      </c>
      <c r="B304">
        <v>174150.43</v>
      </c>
      <c r="C304">
        <v>14762.16</v>
      </c>
      <c r="D304">
        <v>59491.66</v>
      </c>
      <c r="E304">
        <v>81588.149999999994</v>
      </c>
      <c r="F304">
        <v>334698.06</v>
      </c>
      <c r="G304">
        <v>29863.43</v>
      </c>
      <c r="H304">
        <v>86284.7</v>
      </c>
      <c r="I304">
        <v>24650.99</v>
      </c>
      <c r="J304">
        <v>140799.12</v>
      </c>
      <c r="K304">
        <v>475497.18</v>
      </c>
      <c r="L304">
        <v>239307.47</v>
      </c>
      <c r="M304">
        <v>21425.25</v>
      </c>
      <c r="N304">
        <v>33118.080000000002</v>
      </c>
      <c r="O304">
        <v>10465.77</v>
      </c>
      <c r="P304">
        <v>304316.57</v>
      </c>
      <c r="Q304">
        <v>5070.38</v>
      </c>
      <c r="R304">
        <v>16637.55</v>
      </c>
      <c r="S304">
        <v>2862.47</v>
      </c>
      <c r="T304">
        <v>48925.62</v>
      </c>
      <c r="U304">
        <v>12375.21</v>
      </c>
      <c r="V304">
        <v>271.39</v>
      </c>
      <c r="W304">
        <v>118742.79</v>
      </c>
      <c r="X304">
        <v>204885.41</v>
      </c>
      <c r="Y304">
        <v>32670.97</v>
      </c>
      <c r="Z304">
        <v>60423.64</v>
      </c>
      <c r="AA304">
        <v>64036.84</v>
      </c>
      <c r="AB304">
        <v>2288.02</v>
      </c>
      <c r="AC304">
        <v>56400.46</v>
      </c>
      <c r="AD304">
        <v>62633.23</v>
      </c>
      <c r="AE304">
        <v>1263152.31</v>
      </c>
      <c r="AF304">
        <v>19977</v>
      </c>
      <c r="AG304" t="s">
        <v>142</v>
      </c>
      <c r="AH304" t="s">
        <v>143</v>
      </c>
      <c r="AI304" t="s">
        <v>142</v>
      </c>
      <c r="AJ304" t="s">
        <v>143</v>
      </c>
      <c r="AK304">
        <v>10876</v>
      </c>
      <c r="AL304" t="s">
        <v>50</v>
      </c>
      <c r="AM304">
        <v>3</v>
      </c>
      <c r="AN304">
        <v>3</v>
      </c>
      <c r="AO304">
        <v>2025</v>
      </c>
      <c r="AP304">
        <v>2</v>
      </c>
    </row>
    <row r="305" spans="1:42" x14ac:dyDescent="0.25">
      <c r="A305">
        <v>4850</v>
      </c>
      <c r="B305">
        <v>232756</v>
      </c>
      <c r="C305">
        <v>28578</v>
      </c>
      <c r="D305">
        <v>75946</v>
      </c>
      <c r="E305">
        <v>82020</v>
      </c>
      <c r="F305">
        <v>424150</v>
      </c>
      <c r="G305">
        <v>33349</v>
      </c>
      <c r="H305">
        <v>100813</v>
      </c>
      <c r="I305">
        <v>24658</v>
      </c>
      <c r="J305">
        <v>158820</v>
      </c>
      <c r="K305">
        <v>582970</v>
      </c>
      <c r="L305">
        <v>372653</v>
      </c>
      <c r="M305">
        <v>29123</v>
      </c>
      <c r="N305">
        <v>50029</v>
      </c>
      <c r="O305">
        <v>16955</v>
      </c>
      <c r="P305">
        <v>468760</v>
      </c>
      <c r="Q305">
        <v>11281</v>
      </c>
      <c r="R305">
        <v>11122</v>
      </c>
      <c r="S305">
        <v>3395</v>
      </c>
      <c r="T305">
        <v>48985</v>
      </c>
      <c r="U305">
        <v>15961</v>
      </c>
      <c r="V305">
        <v>580</v>
      </c>
      <c r="W305">
        <v>178140</v>
      </c>
      <c r="X305">
        <v>269464</v>
      </c>
      <c r="Y305">
        <v>33371</v>
      </c>
      <c r="Z305">
        <v>91430</v>
      </c>
      <c r="AA305">
        <v>56187</v>
      </c>
      <c r="AB305">
        <v>10629</v>
      </c>
      <c r="AC305">
        <v>17250</v>
      </c>
      <c r="AD305">
        <v>27149</v>
      </c>
      <c r="AE305">
        <v>1557210</v>
      </c>
      <c r="AF305">
        <v>19790</v>
      </c>
      <c r="AG305" t="s">
        <v>134</v>
      </c>
      <c r="AH305" t="s">
        <v>135</v>
      </c>
      <c r="AI305" t="s">
        <v>134</v>
      </c>
      <c r="AJ305" t="s">
        <v>135</v>
      </c>
      <c r="AK305">
        <v>10261</v>
      </c>
      <c r="AL305" t="s">
        <v>53</v>
      </c>
      <c r="AM305">
        <v>3</v>
      </c>
      <c r="AN305">
        <v>3</v>
      </c>
      <c r="AO305">
        <v>2025</v>
      </c>
      <c r="AP305">
        <v>1</v>
      </c>
    </row>
    <row r="306" spans="1:42" x14ac:dyDescent="0.25">
      <c r="A306">
        <v>4879.66</v>
      </c>
      <c r="B306">
        <v>269685.44</v>
      </c>
      <c r="C306">
        <v>16040.01</v>
      </c>
      <c r="D306">
        <v>44013.52</v>
      </c>
      <c r="E306">
        <v>80691.33</v>
      </c>
      <c r="F306">
        <v>415309.96</v>
      </c>
      <c r="G306">
        <v>41496.239999999998</v>
      </c>
      <c r="H306">
        <v>98014.95</v>
      </c>
      <c r="I306">
        <v>35982.94</v>
      </c>
      <c r="J306">
        <v>175494.13</v>
      </c>
      <c r="K306">
        <v>590804.09</v>
      </c>
      <c r="L306">
        <v>422113.96</v>
      </c>
      <c r="M306">
        <v>19626.990000000002</v>
      </c>
      <c r="N306">
        <v>67645.7</v>
      </c>
      <c r="O306">
        <v>10006.74</v>
      </c>
      <c r="P306">
        <v>519393.38</v>
      </c>
      <c r="Q306">
        <v>8219.8700000000008</v>
      </c>
      <c r="R306">
        <v>21484.38</v>
      </c>
      <c r="S306">
        <v>4471.92</v>
      </c>
      <c r="T306">
        <v>67752.02</v>
      </c>
      <c r="U306">
        <v>17693.43</v>
      </c>
      <c r="V306">
        <v>2731.18</v>
      </c>
      <c r="W306">
        <v>177858.54</v>
      </c>
      <c r="X306">
        <v>300211.34999999998</v>
      </c>
      <c r="Y306">
        <v>21991.93</v>
      </c>
      <c r="Z306">
        <v>31480.68</v>
      </c>
      <c r="AA306">
        <v>92762.47</v>
      </c>
      <c r="AB306">
        <v>3346.37</v>
      </c>
      <c r="AC306">
        <v>-3063.73</v>
      </c>
      <c r="AD306">
        <v>33023.06</v>
      </c>
      <c r="AE306">
        <v>1589949.59</v>
      </c>
      <c r="AF306">
        <v>19977</v>
      </c>
      <c r="AG306" t="s">
        <v>142</v>
      </c>
      <c r="AH306" t="s">
        <v>143</v>
      </c>
      <c r="AI306" t="s">
        <v>142</v>
      </c>
      <c r="AJ306" t="s">
        <v>143</v>
      </c>
      <c r="AK306">
        <v>10877</v>
      </c>
      <c r="AL306" t="s">
        <v>64</v>
      </c>
      <c r="AM306">
        <v>3</v>
      </c>
      <c r="AN306">
        <v>3</v>
      </c>
      <c r="AO306">
        <v>2025</v>
      </c>
      <c r="AP306">
        <v>1</v>
      </c>
    </row>
    <row r="307" spans="1:42" x14ac:dyDescent="0.25">
      <c r="A307">
        <v>4895.38</v>
      </c>
      <c r="B307">
        <v>1031986.15</v>
      </c>
      <c r="C307">
        <v>323531.83</v>
      </c>
      <c r="D307">
        <v>308401.68</v>
      </c>
      <c r="E307">
        <v>302170.42</v>
      </c>
      <c r="F307">
        <v>1970985.46</v>
      </c>
      <c r="G307">
        <v>166408.97</v>
      </c>
      <c r="H307">
        <v>531234.64</v>
      </c>
      <c r="I307">
        <v>154422.21</v>
      </c>
      <c r="J307">
        <v>852065.82</v>
      </c>
      <c r="K307">
        <v>2823051.28</v>
      </c>
      <c r="L307">
        <v>1290743.52</v>
      </c>
      <c r="M307">
        <v>213399.85</v>
      </c>
      <c r="N307">
        <v>187685.68</v>
      </c>
      <c r="O307">
        <v>36565.71</v>
      </c>
      <c r="P307">
        <v>1728394.76</v>
      </c>
      <c r="Q307">
        <v>25915.06</v>
      </c>
      <c r="R307">
        <v>71984.210000000006</v>
      </c>
      <c r="S307">
        <v>9449.5300000000007</v>
      </c>
      <c r="T307">
        <v>366486.17</v>
      </c>
      <c r="U307">
        <v>42728.3</v>
      </c>
      <c r="V307">
        <v>0</v>
      </c>
      <c r="W307">
        <v>660172.74</v>
      </c>
      <c r="X307">
        <v>1176736</v>
      </c>
      <c r="Y307">
        <v>163684.92000000001</v>
      </c>
      <c r="Z307">
        <v>543753.51</v>
      </c>
      <c r="AA307">
        <v>276680.52</v>
      </c>
      <c r="AB307">
        <v>17122.25</v>
      </c>
      <c r="AC307">
        <v>128595.43</v>
      </c>
      <c r="AD307">
        <v>1889036.77</v>
      </c>
      <c r="AE307">
        <v>8747055.4199999999</v>
      </c>
      <c r="AF307">
        <v>19805</v>
      </c>
      <c r="AG307" t="s">
        <v>105</v>
      </c>
      <c r="AH307" t="s">
        <v>106</v>
      </c>
      <c r="AI307" t="s">
        <v>105</v>
      </c>
      <c r="AJ307" t="s">
        <v>106</v>
      </c>
      <c r="AK307" t="s">
        <v>148</v>
      </c>
      <c r="AL307" t="s">
        <v>44</v>
      </c>
      <c r="AM307">
        <v>3</v>
      </c>
      <c r="AN307">
        <v>3</v>
      </c>
      <c r="AO307">
        <v>2025</v>
      </c>
      <c r="AP307">
        <v>1</v>
      </c>
    </row>
    <row r="308" spans="1:42" x14ac:dyDescent="0.25">
      <c r="A308">
        <v>4953.8</v>
      </c>
      <c r="B308">
        <v>8612.1200000000008</v>
      </c>
      <c r="C308">
        <v>3156.09</v>
      </c>
      <c r="D308">
        <v>0</v>
      </c>
      <c r="E308">
        <v>0</v>
      </c>
      <c r="F308">
        <v>16722</v>
      </c>
      <c r="G308">
        <v>572.79999999999995</v>
      </c>
      <c r="H308">
        <v>2070.96</v>
      </c>
      <c r="I308">
        <v>1160.19</v>
      </c>
      <c r="J308">
        <v>3803.94</v>
      </c>
      <c r="K308">
        <v>20525.939999999999</v>
      </c>
      <c r="L308">
        <v>3476</v>
      </c>
      <c r="M308">
        <v>3331.42</v>
      </c>
      <c r="N308">
        <v>176.64</v>
      </c>
      <c r="O308">
        <v>0</v>
      </c>
      <c r="P308">
        <v>6984.06</v>
      </c>
      <c r="Q308">
        <v>3.47</v>
      </c>
      <c r="R308">
        <v>0</v>
      </c>
      <c r="S308">
        <v>1404.63</v>
      </c>
      <c r="T308">
        <v>1376.36</v>
      </c>
      <c r="U308">
        <v>0</v>
      </c>
      <c r="V308">
        <v>0</v>
      </c>
      <c r="W308">
        <v>1569.51</v>
      </c>
      <c r="X308">
        <v>4353.97</v>
      </c>
      <c r="Y308">
        <v>239.69</v>
      </c>
      <c r="Z308">
        <v>14144.02</v>
      </c>
      <c r="AA308">
        <v>951.17</v>
      </c>
      <c r="AB308">
        <v>2911.82</v>
      </c>
      <c r="AC308">
        <v>6276.84</v>
      </c>
      <c r="AD308">
        <v>2461.77</v>
      </c>
      <c r="AE308">
        <v>58849.29</v>
      </c>
      <c r="AF308">
        <v>22085</v>
      </c>
      <c r="AG308" t="s">
        <v>146</v>
      </c>
      <c r="AH308" t="s">
        <v>147</v>
      </c>
      <c r="AI308" t="s">
        <v>146</v>
      </c>
      <c r="AJ308" t="s">
        <v>147</v>
      </c>
      <c r="AK308">
        <v>1287</v>
      </c>
      <c r="AL308" t="s">
        <v>44</v>
      </c>
      <c r="AM308">
        <v>2</v>
      </c>
      <c r="AN308">
        <v>2</v>
      </c>
      <c r="AO308">
        <v>2025</v>
      </c>
      <c r="AP308">
        <v>4</v>
      </c>
    </row>
    <row r="309" spans="1:42" x14ac:dyDescent="0.25">
      <c r="A309">
        <v>5148</v>
      </c>
      <c r="B309">
        <v>291309</v>
      </c>
      <c r="C309">
        <v>32720</v>
      </c>
      <c r="D309">
        <v>61575</v>
      </c>
      <c r="E309">
        <v>118412</v>
      </c>
      <c r="F309">
        <v>509164</v>
      </c>
      <c r="G309">
        <v>49541</v>
      </c>
      <c r="H309">
        <v>129929</v>
      </c>
      <c r="I309">
        <v>33630</v>
      </c>
      <c r="J309">
        <v>213101</v>
      </c>
      <c r="K309">
        <v>722265</v>
      </c>
      <c r="L309">
        <v>368303</v>
      </c>
      <c r="M309">
        <v>16735</v>
      </c>
      <c r="N309">
        <v>46232</v>
      </c>
      <c r="O309">
        <v>45172</v>
      </c>
      <c r="P309">
        <v>476442</v>
      </c>
      <c r="Q309">
        <v>17625</v>
      </c>
      <c r="R309">
        <v>5894</v>
      </c>
      <c r="S309">
        <v>3297</v>
      </c>
      <c r="T309">
        <v>92760</v>
      </c>
      <c r="U309">
        <v>4901</v>
      </c>
      <c r="V309">
        <v>0</v>
      </c>
      <c r="W309">
        <v>180292</v>
      </c>
      <c r="X309">
        <v>304768</v>
      </c>
      <c r="Y309">
        <v>35461</v>
      </c>
      <c r="Z309">
        <v>116886</v>
      </c>
      <c r="AA309">
        <v>106755</v>
      </c>
      <c r="AB309">
        <v>0</v>
      </c>
      <c r="AC309">
        <v>62782</v>
      </c>
      <c r="AD309">
        <v>423832</v>
      </c>
      <c r="AE309">
        <v>2249191</v>
      </c>
      <c r="AF309">
        <v>19930</v>
      </c>
      <c r="AG309" t="s">
        <v>107</v>
      </c>
      <c r="AH309" t="s">
        <v>108</v>
      </c>
      <c r="AI309" t="s">
        <v>107</v>
      </c>
      <c r="AJ309" t="s">
        <v>108</v>
      </c>
      <c r="AK309">
        <v>6031</v>
      </c>
      <c r="AL309" t="s">
        <v>44</v>
      </c>
      <c r="AM309">
        <v>3</v>
      </c>
      <c r="AN309">
        <v>3</v>
      </c>
      <c r="AO309">
        <v>2025</v>
      </c>
      <c r="AP309">
        <v>1</v>
      </c>
    </row>
    <row r="310" spans="1:42" x14ac:dyDescent="0.25">
      <c r="A310">
        <v>5204.93</v>
      </c>
      <c r="B310">
        <v>273587.82</v>
      </c>
      <c r="C310">
        <v>18163.97</v>
      </c>
      <c r="D310">
        <v>49612.53</v>
      </c>
      <c r="E310">
        <v>94474.77</v>
      </c>
      <c r="F310">
        <v>441044.02</v>
      </c>
      <c r="G310">
        <v>44644.37</v>
      </c>
      <c r="H310">
        <v>104811.57</v>
      </c>
      <c r="I310">
        <v>40836.980000000003</v>
      </c>
      <c r="J310">
        <v>190292.92</v>
      </c>
      <c r="K310">
        <v>631336.94999999995</v>
      </c>
      <c r="L310">
        <v>462175.76</v>
      </c>
      <c r="M310">
        <v>25397.759999999998</v>
      </c>
      <c r="N310">
        <v>77721.740000000005</v>
      </c>
      <c r="O310">
        <v>10675.45</v>
      </c>
      <c r="P310">
        <v>575970.69999999995</v>
      </c>
      <c r="Q310">
        <v>8758.17</v>
      </c>
      <c r="R310">
        <v>48007.25</v>
      </c>
      <c r="S310">
        <v>4775.01</v>
      </c>
      <c r="T310">
        <v>94268.14</v>
      </c>
      <c r="U310">
        <v>23273.11</v>
      </c>
      <c r="V310">
        <v>2680.16</v>
      </c>
      <c r="W310">
        <v>207882.09</v>
      </c>
      <c r="X310">
        <v>389643.92</v>
      </c>
      <c r="Y310">
        <v>39609.99</v>
      </c>
      <c r="Z310">
        <v>38401.94</v>
      </c>
      <c r="AA310">
        <v>116049.59</v>
      </c>
      <c r="AB310">
        <v>3544.52</v>
      </c>
      <c r="AC310">
        <v>-87.78</v>
      </c>
      <c r="AD310">
        <v>34126.519999999997</v>
      </c>
      <c r="AE310">
        <v>1828596.34</v>
      </c>
      <c r="AF310">
        <v>19977</v>
      </c>
      <c r="AG310" t="s">
        <v>142</v>
      </c>
      <c r="AH310" t="s">
        <v>143</v>
      </c>
      <c r="AI310" t="s">
        <v>142</v>
      </c>
      <c r="AJ310" t="s">
        <v>143</v>
      </c>
      <c r="AK310">
        <v>10874</v>
      </c>
      <c r="AL310" t="s">
        <v>53</v>
      </c>
      <c r="AM310">
        <v>3</v>
      </c>
      <c r="AN310">
        <v>3</v>
      </c>
      <c r="AO310">
        <v>2025</v>
      </c>
      <c r="AP310">
        <v>1</v>
      </c>
    </row>
    <row r="311" spans="1:42" x14ac:dyDescent="0.25">
      <c r="A311">
        <v>5298.82</v>
      </c>
      <c r="B311">
        <v>1109580.1100000001</v>
      </c>
      <c r="C311">
        <v>338080.51</v>
      </c>
      <c r="D311">
        <v>317701.7</v>
      </c>
      <c r="E311">
        <v>295851.19</v>
      </c>
      <c r="F311">
        <v>2066512.34</v>
      </c>
      <c r="G311">
        <v>168783.57</v>
      </c>
      <c r="H311">
        <v>593100.82999999996</v>
      </c>
      <c r="I311">
        <v>112964.87</v>
      </c>
      <c r="J311">
        <v>874849.26</v>
      </c>
      <c r="K311">
        <v>2941361.6</v>
      </c>
      <c r="L311">
        <v>1355052.27</v>
      </c>
      <c r="M311">
        <v>218079.37</v>
      </c>
      <c r="N311">
        <v>215897.12</v>
      </c>
      <c r="O311">
        <v>12105.67</v>
      </c>
      <c r="P311">
        <v>1801134.42</v>
      </c>
      <c r="Q311">
        <v>32087.18</v>
      </c>
      <c r="R311">
        <v>83516.13</v>
      </c>
      <c r="S311">
        <v>16785.22</v>
      </c>
      <c r="T311">
        <v>421019.01</v>
      </c>
      <c r="U311">
        <v>40310.35</v>
      </c>
      <c r="V311">
        <v>0</v>
      </c>
      <c r="W311">
        <v>716532.97</v>
      </c>
      <c r="X311">
        <v>1310250.8600000001</v>
      </c>
      <c r="Y311">
        <v>187979.04</v>
      </c>
      <c r="Z311">
        <v>568351.18000000005</v>
      </c>
      <c r="AA311">
        <v>279557.28999999998</v>
      </c>
      <c r="AB311">
        <v>14431.52</v>
      </c>
      <c r="AC311">
        <v>71751.41</v>
      </c>
      <c r="AD311">
        <v>1915646.46</v>
      </c>
      <c r="AE311">
        <v>9090463.7799999993</v>
      </c>
      <c r="AF311">
        <v>19805</v>
      </c>
      <c r="AG311" t="s">
        <v>105</v>
      </c>
      <c r="AH311" t="s">
        <v>106</v>
      </c>
      <c r="AI311" t="s">
        <v>105</v>
      </c>
      <c r="AJ311" t="s">
        <v>106</v>
      </c>
      <c r="AK311" t="s">
        <v>148</v>
      </c>
      <c r="AL311" t="s">
        <v>44</v>
      </c>
      <c r="AM311">
        <v>3</v>
      </c>
      <c r="AN311">
        <v>3</v>
      </c>
      <c r="AO311">
        <v>2025</v>
      </c>
      <c r="AP311">
        <v>3</v>
      </c>
    </row>
    <row r="312" spans="1:42" x14ac:dyDescent="0.25">
      <c r="A312">
        <v>5319.78</v>
      </c>
      <c r="B312">
        <v>41279.300000000003</v>
      </c>
      <c r="C312">
        <v>7998.46</v>
      </c>
      <c r="D312">
        <v>14112.34</v>
      </c>
      <c r="E312">
        <v>4322.33</v>
      </c>
      <c r="F312">
        <v>73032.22</v>
      </c>
      <c r="G312">
        <v>12172.52</v>
      </c>
      <c r="H312">
        <v>14457.81</v>
      </c>
      <c r="I312">
        <v>4217.28</v>
      </c>
      <c r="J312">
        <v>30847.599999999999</v>
      </c>
      <c r="K312">
        <v>103879.82</v>
      </c>
      <c r="L312">
        <v>47095.81</v>
      </c>
      <c r="M312">
        <v>7083.71</v>
      </c>
      <c r="N312">
        <v>3473.29</v>
      </c>
      <c r="O312">
        <v>2116.29</v>
      </c>
      <c r="P312">
        <v>59769.09</v>
      </c>
      <c r="Q312">
        <v>1147.3800000000001</v>
      </c>
      <c r="R312">
        <v>807.47</v>
      </c>
      <c r="S312">
        <v>1789.01</v>
      </c>
      <c r="T312">
        <v>11140.25</v>
      </c>
      <c r="U312">
        <v>565.36</v>
      </c>
      <c r="V312">
        <v>0</v>
      </c>
      <c r="W312">
        <v>31795.55</v>
      </c>
      <c r="X312">
        <v>47245.02</v>
      </c>
      <c r="Y312">
        <v>5691.56</v>
      </c>
      <c r="Z312">
        <v>12247.45</v>
      </c>
      <c r="AA312">
        <v>16315.14</v>
      </c>
      <c r="AB312">
        <v>5678.01</v>
      </c>
      <c r="AC312">
        <v>-2439.16</v>
      </c>
      <c r="AD312">
        <v>167.76</v>
      </c>
      <c r="AE312">
        <v>248554.7</v>
      </c>
      <c r="AF312">
        <v>20422</v>
      </c>
      <c r="AG312" t="s">
        <v>93</v>
      </c>
      <c r="AH312" t="s">
        <v>94</v>
      </c>
      <c r="AI312" t="s">
        <v>93</v>
      </c>
      <c r="AJ312" t="s">
        <v>94</v>
      </c>
      <c r="AK312">
        <v>6795</v>
      </c>
      <c r="AL312" t="s">
        <v>44</v>
      </c>
      <c r="AM312">
        <v>3</v>
      </c>
      <c r="AN312">
        <v>3</v>
      </c>
      <c r="AO312">
        <v>2025</v>
      </c>
      <c r="AP312">
        <v>4</v>
      </c>
    </row>
    <row r="313" spans="1:42" x14ac:dyDescent="0.25">
      <c r="A313">
        <v>5372.68</v>
      </c>
      <c r="B313">
        <v>8353.2900000000009</v>
      </c>
      <c r="C313">
        <v>4057.04</v>
      </c>
      <c r="D313">
        <v>0</v>
      </c>
      <c r="E313">
        <v>0</v>
      </c>
      <c r="F313">
        <v>17783.02</v>
      </c>
      <c r="G313">
        <v>827.32</v>
      </c>
      <c r="H313">
        <v>1425.58</v>
      </c>
      <c r="I313">
        <v>1242.81</v>
      </c>
      <c r="J313">
        <v>3495.7</v>
      </c>
      <c r="K313">
        <v>21278.720000000001</v>
      </c>
      <c r="L313">
        <v>1339.7</v>
      </c>
      <c r="M313">
        <v>3371.23</v>
      </c>
      <c r="N313">
        <v>302.45</v>
      </c>
      <c r="O313">
        <v>0</v>
      </c>
      <c r="P313">
        <v>5013.38</v>
      </c>
      <c r="Q313">
        <v>21.46</v>
      </c>
      <c r="R313">
        <v>0</v>
      </c>
      <c r="S313">
        <v>1270.81</v>
      </c>
      <c r="T313">
        <v>1781.37</v>
      </c>
      <c r="U313">
        <v>0</v>
      </c>
      <c r="V313">
        <v>0</v>
      </c>
      <c r="W313">
        <v>1884.53</v>
      </c>
      <c r="X313">
        <v>4958.17</v>
      </c>
      <c r="Y313">
        <v>279.36</v>
      </c>
      <c r="Z313">
        <v>15181.66</v>
      </c>
      <c r="AA313">
        <v>997.42</v>
      </c>
      <c r="AB313">
        <v>2247.38</v>
      </c>
      <c r="AC313">
        <v>5502.67</v>
      </c>
      <c r="AD313">
        <v>1520.32</v>
      </c>
      <c r="AE313">
        <v>56979.08</v>
      </c>
      <c r="AF313">
        <v>22085</v>
      </c>
      <c r="AG313" t="s">
        <v>146</v>
      </c>
      <c r="AH313" t="s">
        <v>147</v>
      </c>
      <c r="AI313" t="s">
        <v>146</v>
      </c>
      <c r="AJ313" t="s">
        <v>147</v>
      </c>
      <c r="AK313">
        <v>1287</v>
      </c>
      <c r="AL313" t="s">
        <v>44</v>
      </c>
      <c r="AM313">
        <v>2</v>
      </c>
      <c r="AN313">
        <v>2</v>
      </c>
      <c r="AO313">
        <v>2025</v>
      </c>
      <c r="AP313">
        <v>3</v>
      </c>
    </row>
    <row r="314" spans="1:42" x14ac:dyDescent="0.25">
      <c r="A314">
        <v>5419.06</v>
      </c>
      <c r="B314">
        <v>233520.6</v>
      </c>
      <c r="C314">
        <v>14380.13</v>
      </c>
      <c r="D314">
        <v>40991.67</v>
      </c>
      <c r="E314">
        <v>97108.95</v>
      </c>
      <c r="F314">
        <v>391420.41</v>
      </c>
      <c r="G314">
        <v>39730.33</v>
      </c>
      <c r="H314">
        <v>85438.69</v>
      </c>
      <c r="I314">
        <v>17201.990000000002</v>
      </c>
      <c r="J314">
        <v>142371</v>
      </c>
      <c r="K314">
        <v>533791.41</v>
      </c>
      <c r="L314">
        <v>381964.06</v>
      </c>
      <c r="M314">
        <v>13944.74</v>
      </c>
      <c r="N314">
        <v>66008.72</v>
      </c>
      <c r="O314">
        <v>10984.09</v>
      </c>
      <c r="P314">
        <v>472901.6</v>
      </c>
      <c r="Q314">
        <v>6997.58</v>
      </c>
      <c r="R314">
        <v>-21286.01</v>
      </c>
      <c r="S314">
        <v>3733.89</v>
      </c>
      <c r="T314">
        <v>42610.2</v>
      </c>
      <c r="U314">
        <v>13580.53</v>
      </c>
      <c r="V314">
        <v>1976.77</v>
      </c>
      <c r="W314">
        <v>162161.37</v>
      </c>
      <c r="X314">
        <v>209774.32</v>
      </c>
      <c r="Y314">
        <v>22848.57</v>
      </c>
      <c r="Z314">
        <v>25751.05</v>
      </c>
      <c r="AA314">
        <v>76466.62</v>
      </c>
      <c r="AB314">
        <v>2781.23</v>
      </c>
      <c r="AC314">
        <v>8386.5300000000007</v>
      </c>
      <c r="AD314">
        <v>25546.18</v>
      </c>
      <c r="AE314">
        <v>1378247.52</v>
      </c>
      <c r="AF314">
        <v>19977</v>
      </c>
      <c r="AG314" t="s">
        <v>142</v>
      </c>
      <c r="AH314" t="s">
        <v>143</v>
      </c>
      <c r="AI314" t="s">
        <v>142</v>
      </c>
      <c r="AJ314" t="s">
        <v>143</v>
      </c>
      <c r="AK314">
        <v>10877</v>
      </c>
      <c r="AL314" t="s">
        <v>64</v>
      </c>
      <c r="AM314">
        <v>3</v>
      </c>
      <c r="AN314">
        <v>3</v>
      </c>
      <c r="AO314">
        <v>2025</v>
      </c>
      <c r="AP314">
        <v>3</v>
      </c>
    </row>
    <row r="315" spans="1:42" x14ac:dyDescent="0.25">
      <c r="A315">
        <v>5441.84</v>
      </c>
      <c r="B315">
        <v>35727.089999999997</v>
      </c>
      <c r="C315">
        <v>6996.34</v>
      </c>
      <c r="D315">
        <v>12961.92</v>
      </c>
      <c r="E315">
        <v>3932.13</v>
      </c>
      <c r="F315">
        <v>65059.32</v>
      </c>
      <c r="G315">
        <v>10619.76</v>
      </c>
      <c r="H315">
        <v>12713.38</v>
      </c>
      <c r="I315">
        <v>5061.99</v>
      </c>
      <c r="J315">
        <v>28395.13</v>
      </c>
      <c r="K315">
        <v>93454.45</v>
      </c>
      <c r="L315">
        <v>57690.12</v>
      </c>
      <c r="M315">
        <v>4684.8</v>
      </c>
      <c r="N315">
        <v>3182.39</v>
      </c>
      <c r="O315">
        <v>1629.96</v>
      </c>
      <c r="P315">
        <v>67187.28</v>
      </c>
      <c r="Q315">
        <v>1197.81</v>
      </c>
      <c r="R315">
        <v>726.86</v>
      </c>
      <c r="S315">
        <v>1725.34</v>
      </c>
      <c r="T315">
        <v>6213.85</v>
      </c>
      <c r="U315">
        <v>774.14</v>
      </c>
      <c r="V315">
        <v>0</v>
      </c>
      <c r="W315">
        <v>30298.69</v>
      </c>
      <c r="X315">
        <v>40936.68</v>
      </c>
      <c r="Y315">
        <v>5167.99</v>
      </c>
      <c r="Z315">
        <v>12082.04</v>
      </c>
      <c r="AA315">
        <v>15393.78</v>
      </c>
      <c r="AB315">
        <v>5204.6499999999996</v>
      </c>
      <c r="AC315">
        <v>-1028.5899999999999</v>
      </c>
      <c r="AD315">
        <v>316.67</v>
      </c>
      <c r="AE315">
        <v>238714.94</v>
      </c>
      <c r="AF315">
        <v>20422</v>
      </c>
      <c r="AG315" t="s">
        <v>93</v>
      </c>
      <c r="AH315" t="s">
        <v>94</v>
      </c>
      <c r="AI315" t="s">
        <v>93</v>
      </c>
      <c r="AJ315" t="s">
        <v>94</v>
      </c>
      <c r="AK315">
        <v>6795</v>
      </c>
      <c r="AL315" t="s">
        <v>44</v>
      </c>
      <c r="AM315">
        <v>3</v>
      </c>
      <c r="AN315">
        <v>3</v>
      </c>
      <c r="AO315">
        <v>2025</v>
      </c>
      <c r="AP315">
        <v>1</v>
      </c>
    </row>
    <row r="316" spans="1:42" x14ac:dyDescent="0.25">
      <c r="A316">
        <v>5576.12</v>
      </c>
      <c r="B316">
        <v>2375.5700000000002</v>
      </c>
      <c r="C316">
        <v>3262.59</v>
      </c>
      <c r="D316">
        <v>10316.459999999999</v>
      </c>
      <c r="E316">
        <v>320.29000000000002</v>
      </c>
      <c r="F316">
        <v>21851.02</v>
      </c>
      <c r="G316">
        <v>2001.71</v>
      </c>
      <c r="H316">
        <v>2033.14</v>
      </c>
      <c r="I316">
        <v>1809.79</v>
      </c>
      <c r="J316">
        <v>5844.64</v>
      </c>
      <c r="K316">
        <v>27695.66</v>
      </c>
      <c r="L316">
        <v>25613.91</v>
      </c>
      <c r="M316">
        <v>7592.88</v>
      </c>
      <c r="N316">
        <v>109.58</v>
      </c>
      <c r="O316">
        <v>1267.04</v>
      </c>
      <c r="P316">
        <v>34583.42</v>
      </c>
      <c r="Q316">
        <v>1544.02</v>
      </c>
      <c r="R316">
        <v>4.09</v>
      </c>
      <c r="S316">
        <v>1186.1199999999999</v>
      </c>
      <c r="T316">
        <v>282.55</v>
      </c>
      <c r="U316">
        <v>0</v>
      </c>
      <c r="V316">
        <v>0</v>
      </c>
      <c r="W316">
        <v>10747.2</v>
      </c>
      <c r="X316">
        <v>13763.98</v>
      </c>
      <c r="Y316">
        <v>2827.27</v>
      </c>
      <c r="Z316">
        <v>9187.4599999999991</v>
      </c>
      <c r="AA316">
        <v>560.34</v>
      </c>
      <c r="AB316">
        <v>1216.21</v>
      </c>
      <c r="AC316">
        <v>0</v>
      </c>
      <c r="AD316">
        <v>173.99</v>
      </c>
      <c r="AE316">
        <v>90008.34</v>
      </c>
      <c r="AF316">
        <v>20207</v>
      </c>
      <c r="AG316" t="s">
        <v>149</v>
      </c>
      <c r="AH316" t="s">
        <v>150</v>
      </c>
      <c r="AI316" t="s">
        <v>149</v>
      </c>
      <c r="AJ316" t="s">
        <v>150</v>
      </c>
      <c r="AK316">
        <v>6144</v>
      </c>
      <c r="AL316" t="s">
        <v>44</v>
      </c>
      <c r="AM316">
        <v>2</v>
      </c>
      <c r="AN316">
        <v>2</v>
      </c>
      <c r="AO316">
        <v>2025</v>
      </c>
      <c r="AP316">
        <v>1</v>
      </c>
    </row>
    <row r="317" spans="1:42" x14ac:dyDescent="0.25">
      <c r="A317">
        <v>5631.18</v>
      </c>
      <c r="B317">
        <v>281939.96000000002</v>
      </c>
      <c r="C317">
        <v>18469.310000000001</v>
      </c>
      <c r="D317">
        <v>50170.69</v>
      </c>
      <c r="E317">
        <v>108435.85</v>
      </c>
      <c r="F317">
        <v>464646.99</v>
      </c>
      <c r="G317">
        <v>44811.94</v>
      </c>
      <c r="H317">
        <v>106726.74</v>
      </c>
      <c r="I317">
        <v>18027</v>
      </c>
      <c r="J317">
        <v>169565.67</v>
      </c>
      <c r="K317">
        <v>634212.66</v>
      </c>
      <c r="L317">
        <v>446911.96</v>
      </c>
      <c r="M317">
        <v>22227.67</v>
      </c>
      <c r="N317">
        <v>75981.5</v>
      </c>
      <c r="O317">
        <v>13034.15</v>
      </c>
      <c r="P317">
        <v>558155.28</v>
      </c>
      <c r="Q317">
        <v>10651.71</v>
      </c>
      <c r="R317">
        <v>16603.07</v>
      </c>
      <c r="S317">
        <v>4539.29</v>
      </c>
      <c r="T317">
        <v>83088.639999999999</v>
      </c>
      <c r="U317">
        <v>16705.22</v>
      </c>
      <c r="V317">
        <v>2557.1799999999998</v>
      </c>
      <c r="W317">
        <v>189924</v>
      </c>
      <c r="X317">
        <v>324069.09999999998</v>
      </c>
      <c r="Y317">
        <v>25844.23</v>
      </c>
      <c r="Z317">
        <v>36568.28</v>
      </c>
      <c r="AA317">
        <v>93498.81</v>
      </c>
      <c r="AB317">
        <v>3564.27</v>
      </c>
      <c r="AC317">
        <v>13572</v>
      </c>
      <c r="AD317">
        <v>31614.37</v>
      </c>
      <c r="AE317">
        <v>1721098.99</v>
      </c>
      <c r="AF317">
        <v>19977</v>
      </c>
      <c r="AG317" t="s">
        <v>142</v>
      </c>
      <c r="AH317" t="s">
        <v>143</v>
      </c>
      <c r="AI317" t="s">
        <v>142</v>
      </c>
      <c r="AJ317" t="s">
        <v>143</v>
      </c>
      <c r="AK317">
        <v>10877</v>
      </c>
      <c r="AL317" t="s">
        <v>64</v>
      </c>
      <c r="AM317">
        <v>3</v>
      </c>
      <c r="AN317">
        <v>3</v>
      </c>
      <c r="AO317">
        <v>2025</v>
      </c>
      <c r="AP317">
        <v>4</v>
      </c>
    </row>
    <row r="318" spans="1:42" x14ac:dyDescent="0.25">
      <c r="A318">
        <v>5709.99</v>
      </c>
      <c r="B318">
        <v>40384.33</v>
      </c>
      <c r="C318">
        <v>7917.51</v>
      </c>
      <c r="D318">
        <v>13725.68</v>
      </c>
      <c r="E318">
        <v>4417.22</v>
      </c>
      <c r="F318">
        <v>72154.73</v>
      </c>
      <c r="G318">
        <v>11153.38</v>
      </c>
      <c r="H318">
        <v>14915.44</v>
      </c>
      <c r="I318">
        <v>3767.77</v>
      </c>
      <c r="J318">
        <v>29836.6</v>
      </c>
      <c r="K318">
        <v>101991.32</v>
      </c>
      <c r="L318">
        <v>47232.73</v>
      </c>
      <c r="M318">
        <v>3888.2</v>
      </c>
      <c r="N318">
        <v>3007.61</v>
      </c>
      <c r="O318">
        <v>1013.53</v>
      </c>
      <c r="P318">
        <v>55142.06</v>
      </c>
      <c r="Q318">
        <v>1045.55</v>
      </c>
      <c r="R318">
        <v>835.69</v>
      </c>
      <c r="S318">
        <v>1912.39</v>
      </c>
      <c r="T318">
        <v>5991.17</v>
      </c>
      <c r="U318">
        <v>592.73</v>
      </c>
      <c r="V318">
        <v>0</v>
      </c>
      <c r="W318">
        <v>31302.49</v>
      </c>
      <c r="X318">
        <v>41680.01</v>
      </c>
      <c r="Y318">
        <v>5887.18</v>
      </c>
      <c r="Z318">
        <v>12833.48</v>
      </c>
      <c r="AA318">
        <v>16999.05</v>
      </c>
      <c r="AB318">
        <v>5753.19</v>
      </c>
      <c r="AC318">
        <v>-2237.3000000000002</v>
      </c>
      <c r="AD318">
        <v>56.01</v>
      </c>
      <c r="AE318">
        <v>238105</v>
      </c>
      <c r="AF318">
        <v>20422</v>
      </c>
      <c r="AG318" t="s">
        <v>93</v>
      </c>
      <c r="AH318" t="s">
        <v>94</v>
      </c>
      <c r="AI318" t="s">
        <v>93</v>
      </c>
      <c r="AJ318" t="s">
        <v>94</v>
      </c>
      <c r="AK318">
        <v>6795</v>
      </c>
      <c r="AL318" t="s">
        <v>44</v>
      </c>
      <c r="AM318">
        <v>3</v>
      </c>
      <c r="AN318">
        <v>3</v>
      </c>
      <c r="AO318">
        <v>2025</v>
      </c>
      <c r="AP318">
        <v>3</v>
      </c>
    </row>
    <row r="319" spans="1:42" x14ac:dyDescent="0.25">
      <c r="A319">
        <v>5734.42</v>
      </c>
      <c r="B319">
        <v>36163.1</v>
      </c>
      <c r="C319">
        <v>7594.25</v>
      </c>
      <c r="D319">
        <v>13825.85</v>
      </c>
      <c r="E319">
        <v>4306.32</v>
      </c>
      <c r="F319">
        <v>67623.94</v>
      </c>
      <c r="G319">
        <v>9876.99</v>
      </c>
      <c r="H319">
        <v>13918.1</v>
      </c>
      <c r="I319">
        <v>4634.47</v>
      </c>
      <c r="J319">
        <v>28429.55</v>
      </c>
      <c r="K319">
        <v>96053.5</v>
      </c>
      <c r="L319">
        <v>48710.57</v>
      </c>
      <c r="M319">
        <v>6511.76</v>
      </c>
      <c r="N319">
        <v>3094.34</v>
      </c>
      <c r="O319">
        <v>987.18</v>
      </c>
      <c r="P319">
        <v>59303.86</v>
      </c>
      <c r="Q319">
        <v>1304.29</v>
      </c>
      <c r="R319">
        <v>741.98</v>
      </c>
      <c r="S319">
        <v>1870.55</v>
      </c>
      <c r="T319">
        <v>6866.51</v>
      </c>
      <c r="U319">
        <v>611.65</v>
      </c>
      <c r="V319">
        <v>0</v>
      </c>
      <c r="W319">
        <v>31451.32</v>
      </c>
      <c r="X319">
        <v>42846.3</v>
      </c>
      <c r="Y319">
        <v>6633.11</v>
      </c>
      <c r="Z319">
        <v>9990.94</v>
      </c>
      <c r="AA319">
        <v>16910.14</v>
      </c>
      <c r="AB319">
        <v>5670.92</v>
      </c>
      <c r="AC319">
        <v>-976.53</v>
      </c>
      <c r="AD319">
        <v>29.37</v>
      </c>
      <c r="AE319">
        <v>236461.6</v>
      </c>
      <c r="AF319">
        <v>20422</v>
      </c>
      <c r="AG319" t="s">
        <v>93</v>
      </c>
      <c r="AH319" t="s">
        <v>94</v>
      </c>
      <c r="AI319" t="s">
        <v>93</v>
      </c>
      <c r="AJ319" t="s">
        <v>94</v>
      </c>
      <c r="AK319">
        <v>6795</v>
      </c>
      <c r="AL319" t="s">
        <v>44</v>
      </c>
      <c r="AM319">
        <v>3</v>
      </c>
      <c r="AN319">
        <v>3</v>
      </c>
      <c r="AO319">
        <v>2025</v>
      </c>
      <c r="AP319">
        <v>2</v>
      </c>
    </row>
    <row r="320" spans="1:42" x14ac:dyDescent="0.25">
      <c r="A320">
        <v>5871.19</v>
      </c>
      <c r="B320">
        <v>2268.8200000000002</v>
      </c>
      <c r="C320">
        <v>3349.6</v>
      </c>
      <c r="D320">
        <v>10210.09</v>
      </c>
      <c r="E320">
        <v>265.23</v>
      </c>
      <c r="F320">
        <v>21964.92</v>
      </c>
      <c r="G320">
        <v>2151.4299999999998</v>
      </c>
      <c r="H320">
        <v>2180.94</v>
      </c>
      <c r="I320">
        <v>1712.18</v>
      </c>
      <c r="J320">
        <v>6044.54</v>
      </c>
      <c r="K320">
        <v>28009.46</v>
      </c>
      <c r="L320">
        <v>23628.66</v>
      </c>
      <c r="M320">
        <v>8137.64</v>
      </c>
      <c r="N320">
        <v>80.78</v>
      </c>
      <c r="O320">
        <v>408.42</v>
      </c>
      <c r="P320">
        <v>32255.5</v>
      </c>
      <c r="Q320">
        <v>1669.59</v>
      </c>
      <c r="R320">
        <v>5</v>
      </c>
      <c r="S320">
        <v>1118.3599999999999</v>
      </c>
      <c r="T320">
        <v>460.76</v>
      </c>
      <c r="U320">
        <v>0</v>
      </c>
      <c r="V320">
        <v>0</v>
      </c>
      <c r="W320">
        <v>11613.76</v>
      </c>
      <c r="X320">
        <v>14867.47</v>
      </c>
      <c r="Y320">
        <v>4369.18</v>
      </c>
      <c r="Z320">
        <v>9742.08</v>
      </c>
      <c r="AA320">
        <v>548.15</v>
      </c>
      <c r="AB320">
        <v>1365.28</v>
      </c>
      <c r="AC320">
        <v>0</v>
      </c>
      <c r="AD320">
        <v>103.93</v>
      </c>
      <c r="AE320">
        <v>91261.04</v>
      </c>
      <c r="AF320">
        <v>20207</v>
      </c>
      <c r="AG320" t="s">
        <v>149</v>
      </c>
      <c r="AH320" t="s">
        <v>150</v>
      </c>
      <c r="AI320" t="s">
        <v>149</v>
      </c>
      <c r="AJ320" t="s">
        <v>150</v>
      </c>
      <c r="AK320">
        <v>6144</v>
      </c>
      <c r="AL320" t="s">
        <v>44</v>
      </c>
      <c r="AM320">
        <v>2</v>
      </c>
      <c r="AN320">
        <v>2</v>
      </c>
      <c r="AO320">
        <v>2025</v>
      </c>
      <c r="AP320">
        <v>2</v>
      </c>
    </row>
    <row r="321" spans="1:42" x14ac:dyDescent="0.25">
      <c r="A321">
        <v>6082.1</v>
      </c>
      <c r="B321">
        <v>1107136.56</v>
      </c>
      <c r="C321">
        <v>332599.59000000003</v>
      </c>
      <c r="D321">
        <v>314971.39</v>
      </c>
      <c r="E321">
        <v>314930.34000000003</v>
      </c>
      <c r="F321">
        <v>2075719.99</v>
      </c>
      <c r="G321">
        <v>173189.37</v>
      </c>
      <c r="H321">
        <v>562579.15</v>
      </c>
      <c r="I321">
        <v>134455.63</v>
      </c>
      <c r="J321">
        <v>870224.15</v>
      </c>
      <c r="K321">
        <v>2945944.15</v>
      </c>
      <c r="L321">
        <v>1337677.98</v>
      </c>
      <c r="M321">
        <v>186340.08</v>
      </c>
      <c r="N321">
        <v>216425.96</v>
      </c>
      <c r="O321">
        <v>15556.73</v>
      </c>
      <c r="P321">
        <v>1756000.75</v>
      </c>
      <c r="Q321">
        <v>28242.55</v>
      </c>
      <c r="R321">
        <v>74047.11</v>
      </c>
      <c r="S321">
        <v>20053.740000000002</v>
      </c>
      <c r="T321">
        <v>400143.85</v>
      </c>
      <c r="U321">
        <v>60536.9</v>
      </c>
      <c r="V321">
        <v>0</v>
      </c>
      <c r="W321">
        <v>720523.58</v>
      </c>
      <c r="X321">
        <v>1303547.74</v>
      </c>
      <c r="Y321">
        <v>186496.63</v>
      </c>
      <c r="Z321">
        <v>570967.74</v>
      </c>
      <c r="AA321">
        <v>286111.09000000003</v>
      </c>
      <c r="AB321">
        <v>14572.81</v>
      </c>
      <c r="AC321">
        <v>106811.78</v>
      </c>
      <c r="AD321">
        <v>1867405.02</v>
      </c>
      <c r="AE321">
        <v>9037857.6999999993</v>
      </c>
      <c r="AF321">
        <v>19805</v>
      </c>
      <c r="AG321" t="s">
        <v>105</v>
      </c>
      <c r="AH321" t="s">
        <v>106</v>
      </c>
      <c r="AI321" t="s">
        <v>105</v>
      </c>
      <c r="AJ321" t="s">
        <v>106</v>
      </c>
      <c r="AK321" t="s">
        <v>148</v>
      </c>
      <c r="AL321" t="s">
        <v>44</v>
      </c>
      <c r="AM321">
        <v>3</v>
      </c>
      <c r="AN321">
        <v>3</v>
      </c>
      <c r="AO321">
        <v>2025</v>
      </c>
      <c r="AP321">
        <v>2</v>
      </c>
    </row>
    <row r="322" spans="1:42" x14ac:dyDescent="0.25">
      <c r="A322">
        <v>6170.47</v>
      </c>
      <c r="B322">
        <v>234425.4</v>
      </c>
      <c r="C322">
        <v>13889</v>
      </c>
      <c r="D322">
        <v>41154.67</v>
      </c>
      <c r="E322">
        <v>87964.59</v>
      </c>
      <c r="F322">
        <v>383604.13</v>
      </c>
      <c r="G322">
        <v>40000.39</v>
      </c>
      <c r="H322">
        <v>84922.9</v>
      </c>
      <c r="I322">
        <v>20658.75</v>
      </c>
      <c r="J322">
        <v>145582.03</v>
      </c>
      <c r="K322">
        <v>529186.16</v>
      </c>
      <c r="L322">
        <v>358575.52</v>
      </c>
      <c r="M322">
        <v>15905.54</v>
      </c>
      <c r="N322">
        <v>64149.71</v>
      </c>
      <c r="O322">
        <v>11196.69</v>
      </c>
      <c r="P322">
        <v>449827.46</v>
      </c>
      <c r="Q322">
        <v>6568.65</v>
      </c>
      <c r="R322">
        <v>21317.87</v>
      </c>
      <c r="S322">
        <v>3753.11</v>
      </c>
      <c r="T322">
        <v>41862.5</v>
      </c>
      <c r="U322">
        <v>15807.75</v>
      </c>
      <c r="V322">
        <v>2256.69</v>
      </c>
      <c r="W322">
        <v>151976.54999999999</v>
      </c>
      <c r="X322">
        <v>243543.13</v>
      </c>
      <c r="Y322">
        <v>21531.85</v>
      </c>
      <c r="Z322">
        <v>30431.54</v>
      </c>
      <c r="AA322">
        <v>78647.070000000007</v>
      </c>
      <c r="AB322">
        <v>2854.33</v>
      </c>
      <c r="AC322">
        <v>70367.91</v>
      </c>
      <c r="AD322">
        <v>28582.43</v>
      </c>
      <c r="AE322">
        <v>1454971.88</v>
      </c>
      <c r="AF322">
        <v>19977</v>
      </c>
      <c r="AG322" t="s">
        <v>142</v>
      </c>
      <c r="AH322" t="s">
        <v>143</v>
      </c>
      <c r="AI322" t="s">
        <v>142</v>
      </c>
      <c r="AJ322" t="s">
        <v>143</v>
      </c>
      <c r="AK322">
        <v>10877</v>
      </c>
      <c r="AL322" t="s">
        <v>64</v>
      </c>
      <c r="AM322">
        <v>3</v>
      </c>
      <c r="AN322">
        <v>3</v>
      </c>
      <c r="AO322">
        <v>2025</v>
      </c>
      <c r="AP322">
        <v>2</v>
      </c>
    </row>
    <row r="323" spans="1:42" x14ac:dyDescent="0.25">
      <c r="A323">
        <v>6208.81</v>
      </c>
      <c r="B323">
        <v>2234.4899999999998</v>
      </c>
      <c r="C323">
        <v>3728.35</v>
      </c>
      <c r="D323">
        <v>10989.23</v>
      </c>
      <c r="E323">
        <v>262.5</v>
      </c>
      <c r="F323">
        <v>23423.38</v>
      </c>
      <c r="G323">
        <v>2281.84</v>
      </c>
      <c r="H323">
        <v>2081.4</v>
      </c>
      <c r="I323">
        <v>1563.15</v>
      </c>
      <c r="J323">
        <v>5926.38</v>
      </c>
      <c r="K323">
        <v>29349.77</v>
      </c>
      <c r="L323">
        <v>23920.22</v>
      </c>
      <c r="M323">
        <v>9227.36</v>
      </c>
      <c r="N323">
        <v>98.89</v>
      </c>
      <c r="O323">
        <v>397.75</v>
      </c>
      <c r="P323">
        <v>33644.22</v>
      </c>
      <c r="Q323">
        <v>1053.47</v>
      </c>
      <c r="R323">
        <v>-1.75</v>
      </c>
      <c r="S323">
        <v>1192.3399999999999</v>
      </c>
      <c r="T323">
        <v>392.35</v>
      </c>
      <c r="U323">
        <v>0</v>
      </c>
      <c r="V323">
        <v>0</v>
      </c>
      <c r="W323">
        <v>11539.02</v>
      </c>
      <c r="X323">
        <v>14175.43</v>
      </c>
      <c r="Y323">
        <v>3702.21</v>
      </c>
      <c r="Z323">
        <v>10409.36</v>
      </c>
      <c r="AA323">
        <v>572.32000000000005</v>
      </c>
      <c r="AB323">
        <v>1695.69</v>
      </c>
      <c r="AC323">
        <v>0</v>
      </c>
      <c r="AD323">
        <v>234.99</v>
      </c>
      <c r="AE323">
        <v>93783.98</v>
      </c>
      <c r="AF323">
        <v>20207</v>
      </c>
      <c r="AG323" t="s">
        <v>149</v>
      </c>
      <c r="AH323" t="s">
        <v>150</v>
      </c>
      <c r="AI323" t="s">
        <v>149</v>
      </c>
      <c r="AJ323" t="s">
        <v>150</v>
      </c>
      <c r="AK323">
        <v>6144</v>
      </c>
      <c r="AL323" t="s">
        <v>44</v>
      </c>
      <c r="AM323">
        <v>2</v>
      </c>
      <c r="AN323">
        <v>2</v>
      </c>
      <c r="AO323">
        <v>2025</v>
      </c>
      <c r="AP323">
        <v>3</v>
      </c>
    </row>
    <row r="324" spans="1:42" x14ac:dyDescent="0.25">
      <c r="A324">
        <v>6336.25</v>
      </c>
      <c r="B324">
        <v>109374.18</v>
      </c>
      <c r="C324">
        <v>19350.86</v>
      </c>
      <c r="D324">
        <v>3597.56</v>
      </c>
      <c r="E324">
        <v>481.47</v>
      </c>
      <c r="F324">
        <v>139140.31</v>
      </c>
      <c r="G324">
        <v>25663.58</v>
      </c>
      <c r="H324">
        <v>29511.48</v>
      </c>
      <c r="I324">
        <v>10829.4</v>
      </c>
      <c r="J324">
        <v>66004.460000000006</v>
      </c>
      <c r="K324">
        <v>205144.77</v>
      </c>
      <c r="L324">
        <v>281.52999999999997</v>
      </c>
      <c r="M324">
        <v>21925.83</v>
      </c>
      <c r="N324">
        <v>0</v>
      </c>
      <c r="O324">
        <v>446.22</v>
      </c>
      <c r="P324">
        <v>22653.58</v>
      </c>
      <c r="Q324">
        <v>1507.67</v>
      </c>
      <c r="R324">
        <v>395.85</v>
      </c>
      <c r="S324">
        <v>3050.7</v>
      </c>
      <c r="T324">
        <v>52770.38</v>
      </c>
      <c r="U324">
        <v>0</v>
      </c>
      <c r="V324">
        <v>0</v>
      </c>
      <c r="W324">
        <v>17359.990000000002</v>
      </c>
      <c r="X324">
        <v>75084.59</v>
      </c>
      <c r="Y324">
        <v>0</v>
      </c>
      <c r="Z324">
        <v>2310.4499999999998</v>
      </c>
      <c r="AA324">
        <v>29459.91</v>
      </c>
      <c r="AB324">
        <v>312.05</v>
      </c>
      <c r="AC324">
        <v>7972.44</v>
      </c>
      <c r="AD324">
        <v>0</v>
      </c>
      <c r="AE324">
        <v>342937.78</v>
      </c>
      <c r="AF324">
        <v>20452</v>
      </c>
      <c r="AG324" t="s">
        <v>54</v>
      </c>
      <c r="AH324" t="s">
        <v>55</v>
      </c>
      <c r="AI324" t="s">
        <v>54</v>
      </c>
      <c r="AJ324" t="s">
        <v>55</v>
      </c>
      <c r="AK324">
        <v>6003</v>
      </c>
      <c r="AL324" t="s">
        <v>44</v>
      </c>
      <c r="AM324">
        <v>3</v>
      </c>
      <c r="AN324">
        <v>3</v>
      </c>
      <c r="AO324">
        <v>2025</v>
      </c>
      <c r="AP324">
        <v>2</v>
      </c>
    </row>
    <row r="325" spans="1:42" x14ac:dyDescent="0.25">
      <c r="A325">
        <v>6355</v>
      </c>
      <c r="B325">
        <v>331185</v>
      </c>
      <c r="C325">
        <v>40809</v>
      </c>
      <c r="D325">
        <v>107664</v>
      </c>
      <c r="E325">
        <v>145237</v>
      </c>
      <c r="F325">
        <v>631250</v>
      </c>
      <c r="G325">
        <v>45082</v>
      </c>
      <c r="H325">
        <v>161820</v>
      </c>
      <c r="I325">
        <v>33578</v>
      </c>
      <c r="J325">
        <v>240480</v>
      </c>
      <c r="K325">
        <v>871730</v>
      </c>
      <c r="L325">
        <v>449010</v>
      </c>
      <c r="M325">
        <v>32102</v>
      </c>
      <c r="N325">
        <v>69237</v>
      </c>
      <c r="O325">
        <v>20231</v>
      </c>
      <c r="P325">
        <v>570580</v>
      </c>
      <c r="Q325">
        <v>17709</v>
      </c>
      <c r="R325">
        <v>16607</v>
      </c>
      <c r="S325">
        <v>3580</v>
      </c>
      <c r="T325">
        <v>47977</v>
      </c>
      <c r="U325">
        <v>21094</v>
      </c>
      <c r="V325">
        <v>223</v>
      </c>
      <c r="W325">
        <v>249504</v>
      </c>
      <c r="X325">
        <v>356694</v>
      </c>
      <c r="Y325">
        <v>51103</v>
      </c>
      <c r="Z325">
        <v>121925</v>
      </c>
      <c r="AA325">
        <v>70847</v>
      </c>
      <c r="AB325">
        <v>13829</v>
      </c>
      <c r="AC325">
        <v>21731</v>
      </c>
      <c r="AD325">
        <v>56645</v>
      </c>
      <c r="AE325">
        <v>2135084</v>
      </c>
      <c r="AF325">
        <v>19790</v>
      </c>
      <c r="AG325" t="s">
        <v>134</v>
      </c>
      <c r="AH325" t="s">
        <v>135</v>
      </c>
      <c r="AI325" t="s">
        <v>134</v>
      </c>
      <c r="AJ325" t="s">
        <v>135</v>
      </c>
      <c r="AK325">
        <v>10261</v>
      </c>
      <c r="AL325" t="s">
        <v>53</v>
      </c>
      <c r="AM325">
        <v>3</v>
      </c>
      <c r="AN325">
        <v>3</v>
      </c>
      <c r="AO325">
        <v>2025</v>
      </c>
      <c r="AP325">
        <v>4</v>
      </c>
    </row>
    <row r="326" spans="1:42" x14ac:dyDescent="0.25">
      <c r="A326">
        <v>6497.18</v>
      </c>
      <c r="B326">
        <v>2458.61</v>
      </c>
      <c r="C326">
        <v>3781.21</v>
      </c>
      <c r="D326">
        <v>11566.51</v>
      </c>
      <c r="E326">
        <v>254.17</v>
      </c>
      <c r="F326">
        <v>24557.67</v>
      </c>
      <c r="G326">
        <v>1753.37</v>
      </c>
      <c r="H326">
        <v>2206.96</v>
      </c>
      <c r="I326">
        <v>1600.82</v>
      </c>
      <c r="J326">
        <v>5561.15</v>
      </c>
      <c r="K326">
        <v>30118.82</v>
      </c>
      <c r="L326">
        <v>25391.67</v>
      </c>
      <c r="M326">
        <v>8535.7199999999993</v>
      </c>
      <c r="N326">
        <v>84.16</v>
      </c>
      <c r="O326">
        <v>690.69</v>
      </c>
      <c r="P326">
        <v>34702.239999999998</v>
      </c>
      <c r="Q326">
        <v>1440.92</v>
      </c>
      <c r="R326">
        <v>37.33</v>
      </c>
      <c r="S326">
        <v>1151.05</v>
      </c>
      <c r="T326">
        <v>1094.53</v>
      </c>
      <c r="U326">
        <v>0</v>
      </c>
      <c r="V326">
        <v>0</v>
      </c>
      <c r="W326">
        <v>12213.95</v>
      </c>
      <c r="X326">
        <v>15937.78</v>
      </c>
      <c r="Y326">
        <v>4090.5</v>
      </c>
      <c r="Z326">
        <v>10809.36</v>
      </c>
      <c r="AA326">
        <v>567.27</v>
      </c>
      <c r="AB326">
        <v>1858.64</v>
      </c>
      <c r="AC326">
        <v>0</v>
      </c>
      <c r="AD326">
        <v>132.69999999999999</v>
      </c>
      <c r="AE326">
        <v>98217.31</v>
      </c>
      <c r="AF326">
        <v>20207</v>
      </c>
      <c r="AG326" t="s">
        <v>149</v>
      </c>
      <c r="AH326" t="s">
        <v>150</v>
      </c>
      <c r="AI326" t="s">
        <v>149</v>
      </c>
      <c r="AJ326" t="s">
        <v>150</v>
      </c>
      <c r="AK326">
        <v>6144</v>
      </c>
      <c r="AL326" t="s">
        <v>44</v>
      </c>
      <c r="AM326">
        <v>2</v>
      </c>
      <c r="AN326">
        <v>2</v>
      </c>
      <c r="AO326">
        <v>2025</v>
      </c>
      <c r="AP326">
        <v>4</v>
      </c>
    </row>
    <row r="327" spans="1:42" x14ac:dyDescent="0.25">
      <c r="A327">
        <v>6607.17</v>
      </c>
      <c r="B327">
        <v>109554.4</v>
      </c>
      <c r="C327">
        <v>20276.64</v>
      </c>
      <c r="D327">
        <v>3838.22</v>
      </c>
      <c r="E327">
        <v>521.32000000000005</v>
      </c>
      <c r="F327">
        <v>140797.74</v>
      </c>
      <c r="G327">
        <v>25954.47</v>
      </c>
      <c r="H327">
        <v>50799.44</v>
      </c>
      <c r="I327">
        <v>10809.53</v>
      </c>
      <c r="J327">
        <v>87563.44</v>
      </c>
      <c r="K327">
        <v>228361.18</v>
      </c>
      <c r="L327">
        <v>315.16000000000003</v>
      </c>
      <c r="M327">
        <v>22824.27</v>
      </c>
      <c r="N327">
        <v>0</v>
      </c>
      <c r="O327">
        <v>399.83</v>
      </c>
      <c r="P327">
        <v>23539.26</v>
      </c>
      <c r="Q327">
        <v>1557.53</v>
      </c>
      <c r="R327">
        <v>363.89</v>
      </c>
      <c r="S327">
        <v>3003.28</v>
      </c>
      <c r="T327">
        <v>55967.78</v>
      </c>
      <c r="U327">
        <v>0</v>
      </c>
      <c r="V327">
        <v>0</v>
      </c>
      <c r="W327">
        <v>21392.36</v>
      </c>
      <c r="X327">
        <v>82284.84</v>
      </c>
      <c r="Y327">
        <v>0</v>
      </c>
      <c r="Z327">
        <v>2297.66</v>
      </c>
      <c r="AA327">
        <v>30371.94</v>
      </c>
      <c r="AB327">
        <v>312.08999999999997</v>
      </c>
      <c r="AC327">
        <v>9769.76</v>
      </c>
      <c r="AD327">
        <v>0</v>
      </c>
      <c r="AE327">
        <v>376936.72</v>
      </c>
      <c r="AF327">
        <v>20452</v>
      </c>
      <c r="AG327" t="s">
        <v>54</v>
      </c>
      <c r="AH327" t="s">
        <v>55</v>
      </c>
      <c r="AI327" t="s">
        <v>54</v>
      </c>
      <c r="AJ327" t="s">
        <v>55</v>
      </c>
      <c r="AK327">
        <v>6003</v>
      </c>
      <c r="AL327" t="s">
        <v>44</v>
      </c>
      <c r="AM327">
        <v>3</v>
      </c>
      <c r="AN327">
        <v>3</v>
      </c>
      <c r="AO327">
        <v>2025</v>
      </c>
      <c r="AP327">
        <v>3</v>
      </c>
    </row>
    <row r="328" spans="1:42" x14ac:dyDescent="0.25">
      <c r="A328">
        <v>6627.6</v>
      </c>
      <c r="B328">
        <v>1170942.3600000001</v>
      </c>
      <c r="C328">
        <v>348010.04</v>
      </c>
      <c r="D328">
        <v>328259.73</v>
      </c>
      <c r="E328">
        <v>284934.63</v>
      </c>
      <c r="F328">
        <v>2138774.36</v>
      </c>
      <c r="G328">
        <v>184963.19</v>
      </c>
      <c r="H328">
        <v>617826.37</v>
      </c>
      <c r="I328">
        <v>124604.13</v>
      </c>
      <c r="J328">
        <v>927393.69</v>
      </c>
      <c r="K328">
        <v>3066168.05</v>
      </c>
      <c r="L328">
        <v>1357589.56</v>
      </c>
      <c r="M328">
        <v>207224.95999999999</v>
      </c>
      <c r="N328">
        <v>216773.11</v>
      </c>
      <c r="O328">
        <v>25233.45</v>
      </c>
      <c r="P328">
        <v>1806821.08</v>
      </c>
      <c r="Q328">
        <v>39146.44</v>
      </c>
      <c r="R328">
        <v>83306.55</v>
      </c>
      <c r="S328">
        <v>14644.24</v>
      </c>
      <c r="T328">
        <v>412753.63</v>
      </c>
      <c r="U328">
        <v>61816.25</v>
      </c>
      <c r="V328">
        <v>0</v>
      </c>
      <c r="W328">
        <v>724771.72</v>
      </c>
      <c r="X328">
        <v>1336438.82</v>
      </c>
      <c r="Y328">
        <v>192263.77</v>
      </c>
      <c r="Z328">
        <v>550477.74</v>
      </c>
      <c r="AA328">
        <v>285550.53999999998</v>
      </c>
      <c r="AB328">
        <v>15676.39</v>
      </c>
      <c r="AC328">
        <v>126182.27</v>
      </c>
      <c r="AD328">
        <v>1956912.82</v>
      </c>
      <c r="AE328">
        <v>9336491.4600000009</v>
      </c>
      <c r="AF328">
        <v>19805</v>
      </c>
      <c r="AG328" t="s">
        <v>105</v>
      </c>
      <c r="AH328" t="s">
        <v>106</v>
      </c>
      <c r="AI328" t="s">
        <v>105</v>
      </c>
      <c r="AJ328" t="s">
        <v>106</v>
      </c>
      <c r="AK328" t="s">
        <v>148</v>
      </c>
      <c r="AL328" t="s">
        <v>44</v>
      </c>
      <c r="AM328">
        <v>3</v>
      </c>
      <c r="AN328">
        <v>3</v>
      </c>
      <c r="AO328">
        <v>2025</v>
      </c>
      <c r="AP328">
        <v>4</v>
      </c>
    </row>
    <row r="329" spans="1:42" x14ac:dyDescent="0.25">
      <c r="A329">
        <v>6808.7</v>
      </c>
      <c r="B329">
        <v>113757.6</v>
      </c>
      <c r="C329">
        <v>21426.1</v>
      </c>
      <c r="D329">
        <v>3907.36</v>
      </c>
      <c r="E329">
        <v>512.24</v>
      </c>
      <c r="F329">
        <v>146412</v>
      </c>
      <c r="G329">
        <v>26024.27</v>
      </c>
      <c r="H329">
        <v>39994.589999999997</v>
      </c>
      <c r="I329">
        <v>9446.9500000000007</v>
      </c>
      <c r="J329">
        <v>75465.8</v>
      </c>
      <c r="K329">
        <v>221877.8</v>
      </c>
      <c r="L329">
        <v>487.4</v>
      </c>
      <c r="M329">
        <v>22540.44</v>
      </c>
      <c r="N329">
        <v>0</v>
      </c>
      <c r="O329">
        <v>491.82</v>
      </c>
      <c r="P329">
        <v>23519.66</v>
      </c>
      <c r="Q329">
        <v>1687.32</v>
      </c>
      <c r="R329">
        <v>354.69</v>
      </c>
      <c r="S329">
        <v>5754.62</v>
      </c>
      <c r="T329">
        <v>55626.1</v>
      </c>
      <c r="U329">
        <v>0</v>
      </c>
      <c r="V329">
        <v>0</v>
      </c>
      <c r="W329">
        <v>24642.19</v>
      </c>
      <c r="X329">
        <v>88064.92</v>
      </c>
      <c r="Y329">
        <v>0</v>
      </c>
      <c r="Z329">
        <v>2420.54</v>
      </c>
      <c r="AA329">
        <v>31216.2</v>
      </c>
      <c r="AB329">
        <v>312.08999999999997</v>
      </c>
      <c r="AC329">
        <v>9986.01</v>
      </c>
      <c r="AD329">
        <v>0</v>
      </c>
      <c r="AE329">
        <v>377397.21</v>
      </c>
      <c r="AF329">
        <v>20452</v>
      </c>
      <c r="AG329" t="s">
        <v>54</v>
      </c>
      <c r="AH329" t="s">
        <v>55</v>
      </c>
      <c r="AI329" t="s">
        <v>54</v>
      </c>
      <c r="AJ329" t="s">
        <v>55</v>
      </c>
      <c r="AK329">
        <v>6003</v>
      </c>
      <c r="AL329" t="s">
        <v>44</v>
      </c>
      <c r="AM329">
        <v>3</v>
      </c>
      <c r="AN329">
        <v>3</v>
      </c>
      <c r="AO329">
        <v>2025</v>
      </c>
      <c r="AP329">
        <v>4</v>
      </c>
    </row>
    <row r="330" spans="1:42" x14ac:dyDescent="0.25">
      <c r="A330">
        <v>6929</v>
      </c>
      <c r="B330">
        <v>338918</v>
      </c>
      <c r="C330">
        <v>36375</v>
      </c>
      <c r="D330">
        <v>76777</v>
      </c>
      <c r="E330">
        <v>135397</v>
      </c>
      <c r="F330">
        <v>594395</v>
      </c>
      <c r="G330">
        <v>59490</v>
      </c>
      <c r="H330">
        <v>176338</v>
      </c>
      <c r="I330">
        <v>37188</v>
      </c>
      <c r="J330">
        <v>273016</v>
      </c>
      <c r="K330">
        <v>867411</v>
      </c>
      <c r="L330">
        <v>448967</v>
      </c>
      <c r="M330">
        <v>16216</v>
      </c>
      <c r="N330">
        <v>57806</v>
      </c>
      <c r="O330">
        <v>43468</v>
      </c>
      <c r="P330">
        <v>566457</v>
      </c>
      <c r="Q330">
        <v>15926</v>
      </c>
      <c r="R330">
        <v>7245</v>
      </c>
      <c r="S330">
        <v>3379</v>
      </c>
      <c r="T330">
        <v>106149</v>
      </c>
      <c r="U330">
        <v>5065</v>
      </c>
      <c r="V330">
        <v>0</v>
      </c>
      <c r="W330">
        <v>228336</v>
      </c>
      <c r="X330">
        <v>366098</v>
      </c>
      <c r="Y330">
        <v>46408</v>
      </c>
      <c r="Z330">
        <v>144826</v>
      </c>
      <c r="AA330">
        <v>120971</v>
      </c>
      <c r="AB330">
        <v>0</v>
      </c>
      <c r="AC330">
        <v>27856</v>
      </c>
      <c r="AD330">
        <v>489877</v>
      </c>
      <c r="AE330">
        <v>2629904</v>
      </c>
      <c r="AF330">
        <v>19930</v>
      </c>
      <c r="AG330" t="s">
        <v>107</v>
      </c>
      <c r="AH330" t="s">
        <v>108</v>
      </c>
      <c r="AI330" t="s">
        <v>107</v>
      </c>
      <c r="AJ330" t="s">
        <v>108</v>
      </c>
      <c r="AK330">
        <v>6031</v>
      </c>
      <c r="AL330" t="s">
        <v>44</v>
      </c>
      <c r="AM330">
        <v>3</v>
      </c>
      <c r="AN330">
        <v>3</v>
      </c>
      <c r="AO330">
        <v>2025</v>
      </c>
      <c r="AP330">
        <v>3</v>
      </c>
    </row>
    <row r="331" spans="1:42" x14ac:dyDescent="0.25">
      <c r="A331">
        <v>7029</v>
      </c>
      <c r="B331">
        <v>346475</v>
      </c>
      <c r="C331">
        <v>35926</v>
      </c>
      <c r="D331">
        <v>75670</v>
      </c>
      <c r="E331">
        <v>131818</v>
      </c>
      <c r="F331">
        <v>596918</v>
      </c>
      <c r="G331">
        <v>57019</v>
      </c>
      <c r="H331">
        <v>149014</v>
      </c>
      <c r="I331">
        <v>36740</v>
      </c>
      <c r="J331">
        <v>242773</v>
      </c>
      <c r="K331">
        <v>839691</v>
      </c>
      <c r="L331">
        <v>413932</v>
      </c>
      <c r="M331">
        <v>12993</v>
      </c>
      <c r="N331">
        <v>57517</v>
      </c>
      <c r="O331">
        <v>49699</v>
      </c>
      <c r="P331">
        <v>534142</v>
      </c>
      <c r="Q331">
        <v>15228</v>
      </c>
      <c r="R331">
        <v>7967</v>
      </c>
      <c r="S331">
        <v>3844</v>
      </c>
      <c r="T331">
        <v>93729</v>
      </c>
      <c r="U331">
        <v>4798</v>
      </c>
      <c r="V331">
        <v>0</v>
      </c>
      <c r="W331">
        <v>206248</v>
      </c>
      <c r="X331">
        <v>331813</v>
      </c>
      <c r="Y331">
        <v>42315</v>
      </c>
      <c r="Z331">
        <v>132041</v>
      </c>
      <c r="AA331">
        <v>117906</v>
      </c>
      <c r="AB331">
        <v>0</v>
      </c>
      <c r="AC331">
        <v>33403</v>
      </c>
      <c r="AD331">
        <v>464325</v>
      </c>
      <c r="AE331">
        <v>2495637</v>
      </c>
      <c r="AF331">
        <v>19930</v>
      </c>
      <c r="AG331" t="s">
        <v>107</v>
      </c>
      <c r="AH331" t="s">
        <v>108</v>
      </c>
      <c r="AI331" t="s">
        <v>107</v>
      </c>
      <c r="AJ331" t="s">
        <v>108</v>
      </c>
      <c r="AK331">
        <v>6031</v>
      </c>
      <c r="AL331" t="s">
        <v>44</v>
      </c>
      <c r="AM331">
        <v>3</v>
      </c>
      <c r="AN331">
        <v>3</v>
      </c>
      <c r="AO331">
        <v>2025</v>
      </c>
      <c r="AP331">
        <v>4</v>
      </c>
    </row>
    <row r="332" spans="1:42" x14ac:dyDescent="0.25">
      <c r="A332">
        <v>7118</v>
      </c>
      <c r="B332">
        <v>100791.99</v>
      </c>
      <c r="C332">
        <v>21407.89</v>
      </c>
      <c r="D332">
        <v>4085.15</v>
      </c>
      <c r="E332">
        <v>1047.5899999999999</v>
      </c>
      <c r="F332">
        <v>134450.60999999999</v>
      </c>
      <c r="G332">
        <v>23744.43</v>
      </c>
      <c r="H332">
        <v>23429.03</v>
      </c>
      <c r="I332">
        <v>11860.28</v>
      </c>
      <c r="J332">
        <v>59033.74</v>
      </c>
      <c r="K332">
        <v>193484.35</v>
      </c>
      <c r="L332">
        <v>374.44</v>
      </c>
      <c r="M332">
        <v>22987.29</v>
      </c>
      <c r="N332">
        <v>0</v>
      </c>
      <c r="O332">
        <v>342.08</v>
      </c>
      <c r="P332">
        <v>23703.81</v>
      </c>
      <c r="Q332">
        <v>1228.69</v>
      </c>
      <c r="R332">
        <v>436.75</v>
      </c>
      <c r="S332">
        <v>3059.97</v>
      </c>
      <c r="T332">
        <v>53284.41</v>
      </c>
      <c r="U332">
        <v>0</v>
      </c>
      <c r="V332">
        <v>0</v>
      </c>
      <c r="W332">
        <v>17965.240000000002</v>
      </c>
      <c r="X332">
        <v>75975.06</v>
      </c>
      <c r="Y332">
        <v>0</v>
      </c>
      <c r="Z332">
        <v>2331.29</v>
      </c>
      <c r="AA332">
        <v>29238.57</v>
      </c>
      <c r="AB332">
        <v>312.13</v>
      </c>
      <c r="AC332">
        <v>8614.7999999999993</v>
      </c>
      <c r="AD332">
        <v>0</v>
      </c>
      <c r="AE332">
        <v>333660.01</v>
      </c>
      <c r="AF332">
        <v>20452</v>
      </c>
      <c r="AG332" t="s">
        <v>54</v>
      </c>
      <c r="AH332" t="s">
        <v>55</v>
      </c>
      <c r="AI332" t="s">
        <v>54</v>
      </c>
      <c r="AJ332" t="s">
        <v>55</v>
      </c>
      <c r="AK332">
        <v>6003</v>
      </c>
      <c r="AL332" t="s">
        <v>44</v>
      </c>
      <c r="AM332">
        <v>3</v>
      </c>
      <c r="AN332">
        <v>3</v>
      </c>
      <c r="AO332">
        <v>2025</v>
      </c>
      <c r="AP332">
        <v>1</v>
      </c>
    </row>
    <row r="333" spans="1:42" x14ac:dyDescent="0.25">
      <c r="A333">
        <v>7141</v>
      </c>
      <c r="B333">
        <v>319330</v>
      </c>
      <c r="C333">
        <v>33605</v>
      </c>
      <c r="D333">
        <v>69414</v>
      </c>
      <c r="E333">
        <v>122968</v>
      </c>
      <c r="F333">
        <v>552458</v>
      </c>
      <c r="G333">
        <v>55904</v>
      </c>
      <c r="H333">
        <v>147078</v>
      </c>
      <c r="I333">
        <v>36095</v>
      </c>
      <c r="J333">
        <v>239077</v>
      </c>
      <c r="K333">
        <v>791535</v>
      </c>
      <c r="L333">
        <v>405447</v>
      </c>
      <c r="M333">
        <v>17980</v>
      </c>
      <c r="N333">
        <v>53552</v>
      </c>
      <c r="O333">
        <v>43276</v>
      </c>
      <c r="P333">
        <v>520255</v>
      </c>
      <c r="Q333">
        <v>18917</v>
      </c>
      <c r="R333">
        <v>6116</v>
      </c>
      <c r="S333">
        <v>3397</v>
      </c>
      <c r="T333">
        <v>108188</v>
      </c>
      <c r="U333">
        <v>5774</v>
      </c>
      <c r="V333">
        <v>0</v>
      </c>
      <c r="W333">
        <v>205877</v>
      </c>
      <c r="X333">
        <v>348268</v>
      </c>
      <c r="Y333">
        <v>43495</v>
      </c>
      <c r="Z333">
        <v>135365</v>
      </c>
      <c r="AA333">
        <v>115457</v>
      </c>
      <c r="AB333">
        <v>0</v>
      </c>
      <c r="AC333">
        <v>22592</v>
      </c>
      <c r="AD333">
        <v>455306</v>
      </c>
      <c r="AE333">
        <v>2432273</v>
      </c>
      <c r="AF333">
        <v>19930</v>
      </c>
      <c r="AG333" t="s">
        <v>107</v>
      </c>
      <c r="AH333" t="s">
        <v>108</v>
      </c>
      <c r="AI333" t="s">
        <v>107</v>
      </c>
      <c r="AJ333" t="s">
        <v>108</v>
      </c>
      <c r="AK333">
        <v>6031</v>
      </c>
      <c r="AL333" t="s">
        <v>44</v>
      </c>
      <c r="AM333">
        <v>3</v>
      </c>
      <c r="AN333">
        <v>3</v>
      </c>
      <c r="AO333">
        <v>2025</v>
      </c>
      <c r="AP333">
        <v>2</v>
      </c>
    </row>
    <row r="334" spans="1:42" x14ac:dyDescent="0.25">
      <c r="A334">
        <v>7166</v>
      </c>
      <c r="B334">
        <v>1213199</v>
      </c>
      <c r="C334">
        <v>115745</v>
      </c>
      <c r="D334">
        <v>486465</v>
      </c>
      <c r="E334">
        <v>389808</v>
      </c>
      <c r="F334">
        <v>2212383</v>
      </c>
      <c r="G334">
        <v>157648</v>
      </c>
      <c r="H334">
        <v>612124</v>
      </c>
      <c r="I334">
        <v>180016</v>
      </c>
      <c r="J334">
        <v>949788</v>
      </c>
      <c r="K334">
        <v>3162171</v>
      </c>
      <c r="L334">
        <v>1210461</v>
      </c>
      <c r="M334">
        <v>100067</v>
      </c>
      <c r="N334">
        <v>15969</v>
      </c>
      <c r="O334">
        <v>13272</v>
      </c>
      <c r="P334">
        <v>1339769</v>
      </c>
      <c r="Q334">
        <v>59392</v>
      </c>
      <c r="R334">
        <v>7505</v>
      </c>
      <c r="S334">
        <v>18440</v>
      </c>
      <c r="T334">
        <v>214924</v>
      </c>
      <c r="U334">
        <v>2592</v>
      </c>
      <c r="V334">
        <v>725</v>
      </c>
      <c r="W334">
        <v>532279</v>
      </c>
      <c r="X334">
        <v>835857</v>
      </c>
      <c r="Y334">
        <v>180678</v>
      </c>
      <c r="Z334">
        <v>428809</v>
      </c>
      <c r="AA334">
        <v>376716</v>
      </c>
      <c r="AB334">
        <v>10823</v>
      </c>
      <c r="AC334">
        <v>69996</v>
      </c>
      <c r="AD334">
        <v>38571</v>
      </c>
      <c r="AE334">
        <v>6443390</v>
      </c>
      <c r="AF334">
        <v>19393</v>
      </c>
      <c r="AG334" t="s">
        <v>99</v>
      </c>
      <c r="AH334" t="s">
        <v>100</v>
      </c>
      <c r="AI334" t="s">
        <v>99</v>
      </c>
      <c r="AJ334" t="s">
        <v>100</v>
      </c>
      <c r="AK334">
        <v>6725</v>
      </c>
      <c r="AL334" t="s">
        <v>44</v>
      </c>
      <c r="AM334">
        <v>3</v>
      </c>
      <c r="AN334">
        <v>3</v>
      </c>
      <c r="AO334">
        <v>2025</v>
      </c>
      <c r="AP334">
        <v>1</v>
      </c>
    </row>
    <row r="335" spans="1:42" x14ac:dyDescent="0.25">
      <c r="A335">
        <v>7866.35</v>
      </c>
      <c r="B335">
        <v>357787.19</v>
      </c>
      <c r="C335">
        <v>26676.21</v>
      </c>
      <c r="D335">
        <v>69848.84</v>
      </c>
      <c r="E335">
        <v>163092.5</v>
      </c>
      <c r="F335">
        <v>625271.07999999996</v>
      </c>
      <c r="G335">
        <v>59767.31</v>
      </c>
      <c r="H335">
        <v>141787.01999999999</v>
      </c>
      <c r="I335">
        <v>27841.81</v>
      </c>
      <c r="J335">
        <v>229396.13</v>
      </c>
      <c r="K335">
        <v>854667.21</v>
      </c>
      <c r="L335">
        <v>628630.23</v>
      </c>
      <c r="M335">
        <v>39476.35</v>
      </c>
      <c r="N335">
        <v>126504.85</v>
      </c>
      <c r="O335">
        <v>17921.79</v>
      </c>
      <c r="P335">
        <v>812533.21</v>
      </c>
      <c r="Q335">
        <v>14489.31</v>
      </c>
      <c r="R335">
        <v>74981.14</v>
      </c>
      <c r="S335">
        <v>6340.32</v>
      </c>
      <c r="T335">
        <v>140765.09</v>
      </c>
      <c r="U335">
        <v>30397.71</v>
      </c>
      <c r="V335">
        <v>2339.86</v>
      </c>
      <c r="W335">
        <v>275429.87</v>
      </c>
      <c r="X335">
        <v>544743.31000000006</v>
      </c>
      <c r="Y335">
        <v>58159.76</v>
      </c>
      <c r="Z335">
        <v>59602.39</v>
      </c>
      <c r="AA335">
        <v>137127.85</v>
      </c>
      <c r="AB335">
        <v>4370.58</v>
      </c>
      <c r="AC335">
        <v>27880.7</v>
      </c>
      <c r="AD335">
        <v>46546.54</v>
      </c>
      <c r="AE335">
        <v>2545631.5499999998</v>
      </c>
      <c r="AF335">
        <v>19977</v>
      </c>
      <c r="AG335" t="s">
        <v>142</v>
      </c>
      <c r="AH335" t="s">
        <v>143</v>
      </c>
      <c r="AI335" t="s">
        <v>142</v>
      </c>
      <c r="AJ335" t="s">
        <v>143</v>
      </c>
      <c r="AK335">
        <v>10874</v>
      </c>
      <c r="AL335" t="s">
        <v>53</v>
      </c>
      <c r="AM335">
        <v>3</v>
      </c>
      <c r="AN335">
        <v>3</v>
      </c>
      <c r="AO335">
        <v>2025</v>
      </c>
      <c r="AP335">
        <v>4</v>
      </c>
    </row>
    <row r="336" spans="1:42" x14ac:dyDescent="0.25">
      <c r="A336">
        <v>8213</v>
      </c>
      <c r="B336">
        <v>383158</v>
      </c>
      <c r="C336">
        <v>48413</v>
      </c>
      <c r="D336">
        <v>133720</v>
      </c>
      <c r="E336">
        <v>219637</v>
      </c>
      <c r="F336">
        <v>793141</v>
      </c>
      <c r="G336">
        <v>58755</v>
      </c>
      <c r="H336">
        <v>178189</v>
      </c>
      <c r="I336">
        <v>42717</v>
      </c>
      <c r="J336">
        <v>279661</v>
      </c>
      <c r="K336">
        <v>1072802</v>
      </c>
      <c r="L336">
        <v>554132</v>
      </c>
      <c r="M336">
        <v>33636</v>
      </c>
      <c r="N336">
        <v>92153</v>
      </c>
      <c r="O336">
        <v>21433</v>
      </c>
      <c r="P336">
        <v>701354</v>
      </c>
      <c r="Q336">
        <v>23536</v>
      </c>
      <c r="R336">
        <v>25214</v>
      </c>
      <c r="S336">
        <v>5439</v>
      </c>
      <c r="T336">
        <v>72863</v>
      </c>
      <c r="U336">
        <v>32093</v>
      </c>
      <c r="V336">
        <v>1006</v>
      </c>
      <c r="W336">
        <v>314491</v>
      </c>
      <c r="X336">
        <v>474642</v>
      </c>
      <c r="Y336">
        <v>63766</v>
      </c>
      <c r="Z336">
        <v>148997</v>
      </c>
      <c r="AA336">
        <v>82946</v>
      </c>
      <c r="AB336">
        <v>15127</v>
      </c>
      <c r="AC336">
        <v>31901</v>
      </c>
      <c r="AD336">
        <v>41343</v>
      </c>
      <c r="AE336">
        <v>2632878</v>
      </c>
      <c r="AF336">
        <v>19790</v>
      </c>
      <c r="AG336" t="s">
        <v>134</v>
      </c>
      <c r="AH336" t="s">
        <v>135</v>
      </c>
      <c r="AI336" t="s">
        <v>134</v>
      </c>
      <c r="AJ336" t="s">
        <v>135</v>
      </c>
      <c r="AK336">
        <v>10261</v>
      </c>
      <c r="AL336" t="s">
        <v>53</v>
      </c>
      <c r="AM336">
        <v>3</v>
      </c>
      <c r="AN336">
        <v>3</v>
      </c>
      <c r="AO336">
        <v>2025</v>
      </c>
      <c r="AP336">
        <v>2</v>
      </c>
    </row>
    <row r="337" spans="1:42" x14ac:dyDescent="0.25">
      <c r="A337">
        <v>8364.66</v>
      </c>
      <c r="B337">
        <v>101882.61</v>
      </c>
      <c r="C337">
        <v>4601.2299999999996</v>
      </c>
      <c r="D337">
        <v>6749.82</v>
      </c>
      <c r="E337">
        <v>23587.07</v>
      </c>
      <c r="F337">
        <v>145185.4</v>
      </c>
      <c r="G337">
        <v>45413.67</v>
      </c>
      <c r="H337">
        <v>34548.99</v>
      </c>
      <c r="I337">
        <v>12290.28</v>
      </c>
      <c r="J337">
        <v>92252.93</v>
      </c>
      <c r="K337">
        <v>237438.33</v>
      </c>
      <c r="L337">
        <v>250504.58</v>
      </c>
      <c r="M337">
        <v>23757.26</v>
      </c>
      <c r="N337">
        <v>335.41</v>
      </c>
      <c r="O337">
        <v>7126.22</v>
      </c>
      <c r="P337">
        <v>281723.48</v>
      </c>
      <c r="Q337">
        <v>521.20000000000005</v>
      </c>
      <c r="R337">
        <v>22508.47</v>
      </c>
      <c r="S337">
        <v>3714.07</v>
      </c>
      <c r="T337">
        <v>37765.78</v>
      </c>
      <c r="U337">
        <v>2986.85</v>
      </c>
      <c r="V337">
        <v>1729.47</v>
      </c>
      <c r="W337">
        <v>43623.37</v>
      </c>
      <c r="X337">
        <v>112849.21</v>
      </c>
      <c r="Y337">
        <v>18726.37</v>
      </c>
      <c r="Z337">
        <v>40853.61</v>
      </c>
      <c r="AA337">
        <v>64089.99</v>
      </c>
      <c r="AB337">
        <v>0</v>
      </c>
      <c r="AC337">
        <v>8331.83</v>
      </c>
      <c r="AD337">
        <v>360.34</v>
      </c>
      <c r="AE337">
        <v>764373.16</v>
      </c>
      <c r="AF337">
        <v>20007</v>
      </c>
      <c r="AG337" t="s">
        <v>140</v>
      </c>
      <c r="AH337" t="s">
        <v>141</v>
      </c>
      <c r="AI337" t="s">
        <v>140</v>
      </c>
      <c r="AJ337" t="s">
        <v>141</v>
      </c>
      <c r="AK337">
        <v>16087</v>
      </c>
      <c r="AL337" t="s">
        <v>47</v>
      </c>
      <c r="AM337">
        <v>3</v>
      </c>
      <c r="AN337">
        <v>3</v>
      </c>
      <c r="AO337">
        <v>2025</v>
      </c>
      <c r="AP337">
        <v>1</v>
      </c>
    </row>
    <row r="338" spans="1:42" x14ac:dyDescent="0.25">
      <c r="A338">
        <v>8424.24</v>
      </c>
      <c r="B338">
        <v>110841.79</v>
      </c>
      <c r="C338">
        <v>4739.2299999999996</v>
      </c>
      <c r="D338">
        <v>6713.83</v>
      </c>
      <c r="E338">
        <v>24345.87</v>
      </c>
      <c r="F338">
        <v>155064.95000000001</v>
      </c>
      <c r="G338">
        <v>52995.3</v>
      </c>
      <c r="H338">
        <v>35652.720000000001</v>
      </c>
      <c r="I338">
        <v>10882.65</v>
      </c>
      <c r="J338">
        <v>99530.67</v>
      </c>
      <c r="K338">
        <v>254595.62</v>
      </c>
      <c r="L338">
        <v>257108.11</v>
      </c>
      <c r="M338">
        <v>26388.240000000002</v>
      </c>
      <c r="N338">
        <v>397.5</v>
      </c>
      <c r="O338">
        <v>7763.81</v>
      </c>
      <c r="P338">
        <v>291657.65999999997</v>
      </c>
      <c r="Q338">
        <v>637.79</v>
      </c>
      <c r="R338">
        <v>26372.97</v>
      </c>
      <c r="S338">
        <v>3904</v>
      </c>
      <c r="T338">
        <v>39796.379999999997</v>
      </c>
      <c r="U338">
        <v>3654.63</v>
      </c>
      <c r="V338">
        <v>1803.78</v>
      </c>
      <c r="W338">
        <v>46291.56</v>
      </c>
      <c r="X338">
        <v>122461.12</v>
      </c>
      <c r="Y338">
        <v>21944.39</v>
      </c>
      <c r="Z338">
        <v>50706.98</v>
      </c>
      <c r="AA338">
        <v>71687.789999999994</v>
      </c>
      <c r="AB338">
        <v>0</v>
      </c>
      <c r="AC338">
        <v>8041.75</v>
      </c>
      <c r="AD338">
        <v>986.78</v>
      </c>
      <c r="AE338">
        <v>822082.09</v>
      </c>
      <c r="AF338">
        <v>20007</v>
      </c>
      <c r="AG338" t="s">
        <v>140</v>
      </c>
      <c r="AH338" t="s">
        <v>141</v>
      </c>
      <c r="AI338" t="s">
        <v>140</v>
      </c>
      <c r="AJ338" t="s">
        <v>141</v>
      </c>
      <c r="AK338">
        <v>16087</v>
      </c>
      <c r="AL338" t="s">
        <v>47</v>
      </c>
      <c r="AM338">
        <v>3</v>
      </c>
      <c r="AN338">
        <v>3</v>
      </c>
      <c r="AO338">
        <v>2025</v>
      </c>
      <c r="AP338">
        <v>2</v>
      </c>
    </row>
    <row r="339" spans="1:42" x14ac:dyDescent="0.25">
      <c r="A339">
        <v>8805</v>
      </c>
      <c r="B339">
        <v>426991</v>
      </c>
      <c r="C339">
        <v>54434</v>
      </c>
      <c r="D339">
        <v>148303</v>
      </c>
      <c r="E339">
        <v>207702</v>
      </c>
      <c r="F339">
        <v>846235</v>
      </c>
      <c r="G339">
        <v>63819</v>
      </c>
      <c r="H339">
        <v>191568</v>
      </c>
      <c r="I339">
        <v>45482</v>
      </c>
      <c r="J339">
        <v>300869</v>
      </c>
      <c r="K339">
        <v>1147104</v>
      </c>
      <c r="L339">
        <v>626034</v>
      </c>
      <c r="M339">
        <v>49289</v>
      </c>
      <c r="N339">
        <v>101079</v>
      </c>
      <c r="O339">
        <v>21570</v>
      </c>
      <c r="P339">
        <v>797972</v>
      </c>
      <c r="Q339">
        <v>24262</v>
      </c>
      <c r="R339">
        <v>27814</v>
      </c>
      <c r="S339">
        <v>4840</v>
      </c>
      <c r="T339">
        <v>80708</v>
      </c>
      <c r="U339">
        <v>29792</v>
      </c>
      <c r="V339">
        <v>793</v>
      </c>
      <c r="W339">
        <v>335929</v>
      </c>
      <c r="X339">
        <v>504138</v>
      </c>
      <c r="Y339">
        <v>72152</v>
      </c>
      <c r="Z339">
        <v>164719</v>
      </c>
      <c r="AA339">
        <v>92943</v>
      </c>
      <c r="AB339">
        <v>17574</v>
      </c>
      <c r="AC339">
        <v>33024</v>
      </c>
      <c r="AD339">
        <v>62451</v>
      </c>
      <c r="AE339">
        <v>2892077</v>
      </c>
      <c r="AF339">
        <v>19790</v>
      </c>
      <c r="AG339" t="s">
        <v>134</v>
      </c>
      <c r="AH339" t="s">
        <v>135</v>
      </c>
      <c r="AI339" t="s">
        <v>134</v>
      </c>
      <c r="AJ339" t="s">
        <v>135</v>
      </c>
      <c r="AK339">
        <v>10261</v>
      </c>
      <c r="AL339" t="s">
        <v>53</v>
      </c>
      <c r="AM339">
        <v>3</v>
      </c>
      <c r="AN339">
        <v>3</v>
      </c>
      <c r="AO339">
        <v>2025</v>
      </c>
      <c r="AP339">
        <v>3</v>
      </c>
    </row>
    <row r="340" spans="1:42" x14ac:dyDescent="0.25">
      <c r="A340">
        <v>9113.5499999999993</v>
      </c>
      <c r="B340">
        <v>91726.39</v>
      </c>
      <c r="C340">
        <v>25525.67</v>
      </c>
      <c r="D340">
        <v>0</v>
      </c>
      <c r="E340">
        <v>0</v>
      </c>
      <c r="F340">
        <v>126365.61</v>
      </c>
      <c r="G340">
        <v>1625.27</v>
      </c>
      <c r="H340">
        <v>17964.62</v>
      </c>
      <c r="I340">
        <v>7606.33</v>
      </c>
      <c r="J340">
        <v>27196.22</v>
      </c>
      <c r="K340">
        <v>153561.82999999999</v>
      </c>
      <c r="L340">
        <v>168.03</v>
      </c>
      <c r="M340">
        <v>9759.6</v>
      </c>
      <c r="N340">
        <v>11.35</v>
      </c>
      <c r="O340">
        <v>0</v>
      </c>
      <c r="P340">
        <v>9938.98</v>
      </c>
      <c r="Q340">
        <v>0</v>
      </c>
      <c r="R340">
        <v>739.66</v>
      </c>
      <c r="S340">
        <v>-926.49</v>
      </c>
      <c r="T340">
        <v>41271.660000000003</v>
      </c>
      <c r="U340">
        <v>0</v>
      </c>
      <c r="V340">
        <v>0</v>
      </c>
      <c r="W340">
        <v>14120.42</v>
      </c>
      <c r="X340">
        <v>55205.26</v>
      </c>
      <c r="Y340">
        <v>0</v>
      </c>
      <c r="Z340">
        <v>4001.11</v>
      </c>
      <c r="AA340">
        <v>1348.26</v>
      </c>
      <c r="AB340">
        <v>181.68</v>
      </c>
      <c r="AC340">
        <v>25926.86</v>
      </c>
      <c r="AD340">
        <v>0</v>
      </c>
      <c r="AE340">
        <v>250163.97</v>
      </c>
      <c r="AF340">
        <v>20363</v>
      </c>
      <c r="AG340" t="s">
        <v>77</v>
      </c>
      <c r="AH340" t="s">
        <v>78</v>
      </c>
      <c r="AI340" t="s">
        <v>77</v>
      </c>
      <c r="AJ340" t="s">
        <v>78</v>
      </c>
      <c r="AK340">
        <v>7024</v>
      </c>
      <c r="AL340" t="s">
        <v>44</v>
      </c>
      <c r="AM340">
        <v>2</v>
      </c>
      <c r="AN340">
        <v>2</v>
      </c>
      <c r="AO340">
        <v>2025</v>
      </c>
      <c r="AP340">
        <v>4</v>
      </c>
    </row>
    <row r="341" spans="1:42" x14ac:dyDescent="0.25">
      <c r="A341">
        <v>9331</v>
      </c>
      <c r="B341">
        <v>1404020</v>
      </c>
      <c r="C341">
        <v>117575</v>
      </c>
      <c r="D341">
        <v>486412</v>
      </c>
      <c r="E341">
        <v>363943</v>
      </c>
      <c r="F341">
        <v>2381281</v>
      </c>
      <c r="G341">
        <v>182824</v>
      </c>
      <c r="H341">
        <v>640549</v>
      </c>
      <c r="I341">
        <v>119328</v>
      </c>
      <c r="J341">
        <v>942701</v>
      </c>
      <c r="K341">
        <v>3323982</v>
      </c>
      <c r="L341">
        <v>1299446</v>
      </c>
      <c r="M341">
        <v>95151</v>
      </c>
      <c r="N341">
        <v>20877</v>
      </c>
      <c r="O341">
        <v>22893</v>
      </c>
      <c r="P341">
        <v>1438367</v>
      </c>
      <c r="Q341">
        <v>82946</v>
      </c>
      <c r="R341">
        <v>8565</v>
      </c>
      <c r="S341">
        <v>18876</v>
      </c>
      <c r="T341">
        <v>210885</v>
      </c>
      <c r="U341">
        <v>-296</v>
      </c>
      <c r="V341">
        <v>735</v>
      </c>
      <c r="W341">
        <v>527275</v>
      </c>
      <c r="X341">
        <v>848986</v>
      </c>
      <c r="Y341">
        <v>205417</v>
      </c>
      <c r="Z341">
        <v>431437</v>
      </c>
      <c r="AA341">
        <v>378409</v>
      </c>
      <c r="AB341">
        <v>10425</v>
      </c>
      <c r="AC341">
        <v>74531</v>
      </c>
      <c r="AD341">
        <v>36537</v>
      </c>
      <c r="AE341">
        <v>6748091</v>
      </c>
      <c r="AF341">
        <v>19393</v>
      </c>
      <c r="AG341" t="s">
        <v>99</v>
      </c>
      <c r="AH341" t="s">
        <v>100</v>
      </c>
      <c r="AI341" t="s">
        <v>99</v>
      </c>
      <c r="AJ341" t="s">
        <v>100</v>
      </c>
      <c r="AK341">
        <v>6725</v>
      </c>
      <c r="AL341" t="s">
        <v>44</v>
      </c>
      <c r="AM341">
        <v>3</v>
      </c>
      <c r="AN341">
        <v>3</v>
      </c>
      <c r="AO341">
        <v>2025</v>
      </c>
      <c r="AP341">
        <v>3</v>
      </c>
    </row>
    <row r="342" spans="1:42" x14ac:dyDescent="0.25">
      <c r="A342">
        <v>9715.1</v>
      </c>
      <c r="B342">
        <v>163023.44</v>
      </c>
      <c r="C342">
        <v>18621.099999999999</v>
      </c>
      <c r="D342">
        <v>2413.25</v>
      </c>
      <c r="E342">
        <v>14097.33</v>
      </c>
      <c r="F342">
        <v>207870.22</v>
      </c>
      <c r="G342">
        <v>6785.88</v>
      </c>
      <c r="H342">
        <v>48069.63</v>
      </c>
      <c r="I342">
        <v>10391.620000000001</v>
      </c>
      <c r="J342">
        <v>65247.14</v>
      </c>
      <c r="K342">
        <v>273117.36</v>
      </c>
      <c r="L342">
        <v>173566.56</v>
      </c>
      <c r="M342">
        <v>30801.49</v>
      </c>
      <c r="N342">
        <v>3092.83</v>
      </c>
      <c r="O342">
        <v>1910.55</v>
      </c>
      <c r="P342">
        <v>209371.43</v>
      </c>
      <c r="Q342">
        <v>1831.59</v>
      </c>
      <c r="R342">
        <v>7444.46</v>
      </c>
      <c r="S342">
        <v>4288.17</v>
      </c>
      <c r="T342">
        <v>8220.7099999999991</v>
      </c>
      <c r="U342">
        <v>0</v>
      </c>
      <c r="V342">
        <v>0</v>
      </c>
      <c r="W342">
        <v>169226.22</v>
      </c>
      <c r="X342">
        <v>191011.16</v>
      </c>
      <c r="Y342">
        <v>23817.41</v>
      </c>
      <c r="Z342">
        <v>87184.61</v>
      </c>
      <c r="AA342">
        <v>34943.800000000003</v>
      </c>
      <c r="AB342">
        <v>14067.79</v>
      </c>
      <c r="AC342">
        <v>-12948.96</v>
      </c>
      <c r="AD342">
        <v>0</v>
      </c>
      <c r="AE342">
        <v>820564.59</v>
      </c>
      <c r="AF342">
        <v>20416</v>
      </c>
      <c r="AG342" t="s">
        <v>128</v>
      </c>
      <c r="AH342" t="s">
        <v>129</v>
      </c>
      <c r="AI342" t="s">
        <v>128</v>
      </c>
      <c r="AJ342" t="s">
        <v>129</v>
      </c>
      <c r="AK342">
        <v>6830</v>
      </c>
      <c r="AL342" t="s">
        <v>44</v>
      </c>
      <c r="AM342">
        <v>3</v>
      </c>
      <c r="AN342">
        <v>3</v>
      </c>
      <c r="AO342">
        <v>2025</v>
      </c>
      <c r="AP342">
        <v>4</v>
      </c>
    </row>
    <row r="343" spans="1:42" x14ac:dyDescent="0.25">
      <c r="A343">
        <v>9765.0400000000009</v>
      </c>
      <c r="B343">
        <v>139556.21</v>
      </c>
      <c r="C343">
        <v>17828.79</v>
      </c>
      <c r="D343">
        <v>5285.23</v>
      </c>
      <c r="E343">
        <v>18616.86</v>
      </c>
      <c r="F343">
        <v>191052.13</v>
      </c>
      <c r="G343">
        <v>23832.3</v>
      </c>
      <c r="H343">
        <v>29767.96</v>
      </c>
      <c r="I343">
        <v>17053.46</v>
      </c>
      <c r="J343">
        <v>70653.72</v>
      </c>
      <c r="K343">
        <v>261705.85</v>
      </c>
      <c r="L343">
        <v>217239.21</v>
      </c>
      <c r="M343">
        <v>7529.18</v>
      </c>
      <c r="N343">
        <v>15.88</v>
      </c>
      <c r="O343">
        <v>10856.5</v>
      </c>
      <c r="P343">
        <v>235640.77</v>
      </c>
      <c r="Q343">
        <v>1755.17</v>
      </c>
      <c r="R343">
        <v>2278.71</v>
      </c>
      <c r="S343">
        <v>2357.4699999999998</v>
      </c>
      <c r="T343">
        <v>29049.95</v>
      </c>
      <c r="U343">
        <v>2340.5300000000002</v>
      </c>
      <c r="V343">
        <v>0</v>
      </c>
      <c r="W343">
        <v>133714.06</v>
      </c>
      <c r="X343">
        <v>171495.89</v>
      </c>
      <c r="Y343">
        <v>29659.31</v>
      </c>
      <c r="Z343">
        <v>219263.13</v>
      </c>
      <c r="AA343">
        <v>19352.12</v>
      </c>
      <c r="AB343">
        <v>88.6</v>
      </c>
      <c r="AC343">
        <v>-29969.16</v>
      </c>
      <c r="AD343">
        <v>0</v>
      </c>
      <c r="AE343">
        <v>907236.52</v>
      </c>
      <c r="AF343">
        <v>20436</v>
      </c>
      <c r="AG343" t="s">
        <v>122</v>
      </c>
      <c r="AH343" t="s">
        <v>123</v>
      </c>
      <c r="AI343" t="s">
        <v>122</v>
      </c>
      <c r="AJ343" t="s">
        <v>123</v>
      </c>
      <c r="AK343">
        <v>6460</v>
      </c>
      <c r="AL343" t="s">
        <v>44</v>
      </c>
      <c r="AM343">
        <v>3</v>
      </c>
      <c r="AN343">
        <v>3</v>
      </c>
      <c r="AO343">
        <v>2025</v>
      </c>
      <c r="AP343">
        <v>1</v>
      </c>
    </row>
    <row r="344" spans="1:42" x14ac:dyDescent="0.25">
      <c r="A344">
        <v>10243.379999999999</v>
      </c>
      <c r="B344">
        <v>138819.95000000001</v>
      </c>
      <c r="C344">
        <v>18954.98</v>
      </c>
      <c r="D344">
        <v>5291.8</v>
      </c>
      <c r="E344">
        <v>18541.41</v>
      </c>
      <c r="F344">
        <v>191851.51</v>
      </c>
      <c r="G344">
        <v>24651.11</v>
      </c>
      <c r="H344">
        <v>34168.93</v>
      </c>
      <c r="I344">
        <v>13489.7</v>
      </c>
      <c r="J344">
        <v>72309.740000000005</v>
      </c>
      <c r="K344">
        <v>264161.25</v>
      </c>
      <c r="L344">
        <v>204442.14</v>
      </c>
      <c r="M344">
        <v>7572.83</v>
      </c>
      <c r="N344">
        <v>30</v>
      </c>
      <c r="O344">
        <v>3726.46</v>
      </c>
      <c r="P344">
        <v>215771.43</v>
      </c>
      <c r="Q344">
        <v>692.56</v>
      </c>
      <c r="R344">
        <v>2499.11</v>
      </c>
      <c r="S344">
        <v>2321.8200000000002</v>
      </c>
      <c r="T344">
        <v>24300.33</v>
      </c>
      <c r="U344">
        <v>1426.71</v>
      </c>
      <c r="V344">
        <v>0</v>
      </c>
      <c r="W344">
        <v>131512.47</v>
      </c>
      <c r="X344">
        <v>162753</v>
      </c>
      <c r="Y344">
        <v>29322.15</v>
      </c>
      <c r="Z344">
        <v>249339.25</v>
      </c>
      <c r="AA344">
        <v>20311.009999999998</v>
      </c>
      <c r="AB344">
        <v>88.56</v>
      </c>
      <c r="AC344">
        <v>-4556.01</v>
      </c>
      <c r="AD344">
        <v>0</v>
      </c>
      <c r="AE344">
        <v>937190.64</v>
      </c>
      <c r="AF344">
        <v>20436</v>
      </c>
      <c r="AG344" t="s">
        <v>122</v>
      </c>
      <c r="AH344" t="s">
        <v>123</v>
      </c>
      <c r="AI344" t="s">
        <v>122</v>
      </c>
      <c r="AJ344" t="s">
        <v>123</v>
      </c>
      <c r="AK344">
        <v>6460</v>
      </c>
      <c r="AL344" t="s">
        <v>44</v>
      </c>
      <c r="AM344">
        <v>3</v>
      </c>
      <c r="AN344">
        <v>3</v>
      </c>
      <c r="AO344">
        <v>2025</v>
      </c>
      <c r="AP344">
        <v>2</v>
      </c>
    </row>
    <row r="345" spans="1:42" x14ac:dyDescent="0.25">
      <c r="A345">
        <v>10367.82</v>
      </c>
      <c r="B345">
        <v>89619.32</v>
      </c>
      <c r="C345">
        <v>24335</v>
      </c>
      <c r="D345">
        <v>0</v>
      </c>
      <c r="E345">
        <v>0</v>
      </c>
      <c r="F345">
        <v>124322.14</v>
      </c>
      <c r="G345">
        <v>1815.25</v>
      </c>
      <c r="H345">
        <v>17558.009999999998</v>
      </c>
      <c r="I345">
        <v>9692.9500000000007</v>
      </c>
      <c r="J345">
        <v>29066.21</v>
      </c>
      <c r="K345">
        <v>153388.35999999999</v>
      </c>
      <c r="L345">
        <v>190.21</v>
      </c>
      <c r="M345">
        <v>10803.34</v>
      </c>
      <c r="N345">
        <v>0</v>
      </c>
      <c r="O345">
        <v>0</v>
      </c>
      <c r="P345">
        <v>10993.55</v>
      </c>
      <c r="Q345">
        <v>0</v>
      </c>
      <c r="R345">
        <v>793.44</v>
      </c>
      <c r="S345">
        <v>1446.46</v>
      </c>
      <c r="T345">
        <v>37477.49</v>
      </c>
      <c r="U345">
        <v>0</v>
      </c>
      <c r="V345">
        <v>0</v>
      </c>
      <c r="W345">
        <v>12630.19</v>
      </c>
      <c r="X345">
        <v>52347.58</v>
      </c>
      <c r="Y345">
        <v>0</v>
      </c>
      <c r="Z345">
        <v>3924.51</v>
      </c>
      <c r="AA345">
        <v>1203.02</v>
      </c>
      <c r="AB345">
        <v>200.24</v>
      </c>
      <c r="AC345">
        <v>25703.03</v>
      </c>
      <c r="AD345">
        <v>0</v>
      </c>
      <c r="AE345">
        <v>247760.28</v>
      </c>
      <c r="AF345">
        <v>20363</v>
      </c>
      <c r="AG345" t="s">
        <v>77</v>
      </c>
      <c r="AH345" t="s">
        <v>78</v>
      </c>
      <c r="AI345" t="s">
        <v>77</v>
      </c>
      <c r="AJ345" t="s">
        <v>78</v>
      </c>
      <c r="AK345">
        <v>7024</v>
      </c>
      <c r="AL345" t="s">
        <v>44</v>
      </c>
      <c r="AM345">
        <v>2</v>
      </c>
      <c r="AN345">
        <v>2</v>
      </c>
      <c r="AO345">
        <v>2025</v>
      </c>
      <c r="AP345">
        <v>2</v>
      </c>
    </row>
    <row r="346" spans="1:42" x14ac:dyDescent="0.25">
      <c r="A346">
        <v>11054.81</v>
      </c>
      <c r="B346">
        <v>434513.67</v>
      </c>
      <c r="C346">
        <v>30328.83</v>
      </c>
      <c r="D346">
        <v>80980.210000000006</v>
      </c>
      <c r="E346">
        <v>204161.87</v>
      </c>
      <c r="F346">
        <v>761039.39</v>
      </c>
      <c r="G346">
        <v>76769.45</v>
      </c>
      <c r="H346">
        <v>169468.49</v>
      </c>
      <c r="I346">
        <v>36867.620000000003</v>
      </c>
      <c r="J346">
        <v>283105.56</v>
      </c>
      <c r="K346">
        <v>1044144.95</v>
      </c>
      <c r="L346">
        <v>782441.1</v>
      </c>
      <c r="M346">
        <v>33691.11</v>
      </c>
      <c r="N346">
        <v>153915.22</v>
      </c>
      <c r="O346">
        <v>20862.87</v>
      </c>
      <c r="P346">
        <v>990910.29</v>
      </c>
      <c r="Q346">
        <v>13980.82</v>
      </c>
      <c r="R346">
        <v>99656.69</v>
      </c>
      <c r="S346">
        <v>7673.05</v>
      </c>
      <c r="T346">
        <v>166907.22</v>
      </c>
      <c r="U346">
        <v>31842.66</v>
      </c>
      <c r="V346">
        <v>2432.14</v>
      </c>
      <c r="W346">
        <v>330921.61</v>
      </c>
      <c r="X346">
        <v>653414.19999999995</v>
      </c>
      <c r="Y346">
        <v>70151.570000000007</v>
      </c>
      <c r="Z346">
        <v>65830.929999999993</v>
      </c>
      <c r="AA346">
        <v>167726.10999999999</v>
      </c>
      <c r="AB346">
        <v>5617.28</v>
      </c>
      <c r="AC346">
        <v>1539.99</v>
      </c>
      <c r="AD346">
        <v>49767.11</v>
      </c>
      <c r="AE346">
        <v>3049102.42</v>
      </c>
      <c r="AF346">
        <v>19977</v>
      </c>
      <c r="AG346" t="s">
        <v>142</v>
      </c>
      <c r="AH346" t="s">
        <v>143</v>
      </c>
      <c r="AI346" t="s">
        <v>142</v>
      </c>
      <c r="AJ346" t="s">
        <v>143</v>
      </c>
      <c r="AK346">
        <v>10874</v>
      </c>
      <c r="AL346" t="s">
        <v>53</v>
      </c>
      <c r="AM346">
        <v>3</v>
      </c>
      <c r="AN346">
        <v>3</v>
      </c>
      <c r="AO346">
        <v>2025</v>
      </c>
      <c r="AP346">
        <v>3</v>
      </c>
    </row>
    <row r="347" spans="1:42" x14ac:dyDescent="0.25">
      <c r="A347">
        <v>11248.26</v>
      </c>
      <c r="B347">
        <v>88147.01</v>
      </c>
      <c r="C347">
        <v>24994.13</v>
      </c>
      <c r="D347">
        <v>0</v>
      </c>
      <c r="E347">
        <v>0</v>
      </c>
      <c r="F347">
        <v>124389.39</v>
      </c>
      <c r="G347">
        <v>1925.68</v>
      </c>
      <c r="H347">
        <v>17311.05</v>
      </c>
      <c r="I347">
        <v>9113</v>
      </c>
      <c r="J347">
        <v>28349.73</v>
      </c>
      <c r="K347">
        <v>152739.12</v>
      </c>
      <c r="L347">
        <v>211.45</v>
      </c>
      <c r="M347">
        <v>10332.01</v>
      </c>
      <c r="N347">
        <v>0</v>
      </c>
      <c r="O347">
        <v>0</v>
      </c>
      <c r="P347">
        <v>10543.46</v>
      </c>
      <c r="Q347">
        <v>0</v>
      </c>
      <c r="R347">
        <v>736.41</v>
      </c>
      <c r="S347">
        <v>4709.87</v>
      </c>
      <c r="T347">
        <v>35091.800000000003</v>
      </c>
      <c r="U347">
        <v>0</v>
      </c>
      <c r="V347">
        <v>0</v>
      </c>
      <c r="W347">
        <v>15228.64</v>
      </c>
      <c r="X347">
        <v>55766.720000000001</v>
      </c>
      <c r="Y347">
        <v>0</v>
      </c>
      <c r="Z347">
        <v>4013.3</v>
      </c>
      <c r="AA347">
        <v>1265.6500000000001</v>
      </c>
      <c r="AB347">
        <v>182</v>
      </c>
      <c r="AC347">
        <v>27963.73</v>
      </c>
      <c r="AD347">
        <v>0</v>
      </c>
      <c r="AE347">
        <v>252473.99</v>
      </c>
      <c r="AF347">
        <v>20363</v>
      </c>
      <c r="AG347" t="s">
        <v>77</v>
      </c>
      <c r="AH347" t="s">
        <v>78</v>
      </c>
      <c r="AI347" t="s">
        <v>77</v>
      </c>
      <c r="AJ347" t="s">
        <v>78</v>
      </c>
      <c r="AK347">
        <v>7024</v>
      </c>
      <c r="AL347" t="s">
        <v>44</v>
      </c>
      <c r="AM347">
        <v>2</v>
      </c>
      <c r="AN347">
        <v>2</v>
      </c>
      <c r="AO347">
        <v>2025</v>
      </c>
      <c r="AP347">
        <v>3</v>
      </c>
    </row>
    <row r="348" spans="1:42" x14ac:dyDescent="0.25">
      <c r="A348">
        <v>11291.77</v>
      </c>
      <c r="B348">
        <v>143312.22</v>
      </c>
      <c r="C348">
        <v>20961.38</v>
      </c>
      <c r="D348">
        <v>4795.12</v>
      </c>
      <c r="E348">
        <v>19836.36</v>
      </c>
      <c r="F348">
        <v>200196.85</v>
      </c>
      <c r="G348">
        <v>26236.55</v>
      </c>
      <c r="H348">
        <v>40446.050000000003</v>
      </c>
      <c r="I348">
        <v>10078.51</v>
      </c>
      <c r="J348">
        <v>76761.11</v>
      </c>
      <c r="K348">
        <v>276957.95</v>
      </c>
      <c r="L348">
        <v>211106.46</v>
      </c>
      <c r="M348">
        <v>12867.55</v>
      </c>
      <c r="N348">
        <v>14.6</v>
      </c>
      <c r="O348">
        <v>6416.87</v>
      </c>
      <c r="P348">
        <v>230405.48</v>
      </c>
      <c r="Q348">
        <v>3457.16</v>
      </c>
      <c r="R348">
        <v>2391.44</v>
      </c>
      <c r="S348">
        <v>2610.0100000000002</v>
      </c>
      <c r="T348">
        <v>31269.4</v>
      </c>
      <c r="U348">
        <v>1604.45</v>
      </c>
      <c r="V348">
        <v>0</v>
      </c>
      <c r="W348">
        <v>140685.99</v>
      </c>
      <c r="X348">
        <v>182018.45</v>
      </c>
      <c r="Y348">
        <v>32241.279999999999</v>
      </c>
      <c r="Z348">
        <v>277522.7</v>
      </c>
      <c r="AA348">
        <v>25966.75</v>
      </c>
      <c r="AB348">
        <v>90.37</v>
      </c>
      <c r="AC348">
        <v>-113712.53</v>
      </c>
      <c r="AD348">
        <v>0</v>
      </c>
      <c r="AE348">
        <v>911490.45</v>
      </c>
      <c r="AF348">
        <v>20436</v>
      </c>
      <c r="AG348" t="s">
        <v>122</v>
      </c>
      <c r="AH348" t="s">
        <v>123</v>
      </c>
      <c r="AI348" t="s">
        <v>122</v>
      </c>
      <c r="AJ348" t="s">
        <v>123</v>
      </c>
      <c r="AK348">
        <v>6460</v>
      </c>
      <c r="AL348" t="s">
        <v>44</v>
      </c>
      <c r="AM348">
        <v>3</v>
      </c>
      <c r="AN348">
        <v>3</v>
      </c>
      <c r="AO348">
        <v>2025</v>
      </c>
      <c r="AP348">
        <v>4</v>
      </c>
    </row>
    <row r="349" spans="1:42" x14ac:dyDescent="0.25">
      <c r="A349">
        <v>11345.55</v>
      </c>
      <c r="B349">
        <v>189797.87</v>
      </c>
      <c r="C349">
        <v>20346.099999999999</v>
      </c>
      <c r="D349">
        <v>2908.52</v>
      </c>
      <c r="E349">
        <v>16405.73</v>
      </c>
      <c r="F349">
        <v>240803.77</v>
      </c>
      <c r="G349">
        <v>9397.93</v>
      </c>
      <c r="H349">
        <v>60403.48</v>
      </c>
      <c r="I349">
        <v>18549.900000000001</v>
      </c>
      <c r="J349">
        <v>88351.32</v>
      </c>
      <c r="K349">
        <v>329155.09000000003</v>
      </c>
      <c r="L349">
        <v>233395.78</v>
      </c>
      <c r="M349">
        <v>33304.910000000003</v>
      </c>
      <c r="N349">
        <v>5230.59</v>
      </c>
      <c r="O349">
        <v>3451.57</v>
      </c>
      <c r="P349">
        <v>275382.84000000003</v>
      </c>
      <c r="Q349">
        <v>9643.7900000000009</v>
      </c>
      <c r="R349">
        <v>10203.709999999999</v>
      </c>
      <c r="S349">
        <v>5210.68</v>
      </c>
      <c r="T349">
        <v>11320.7</v>
      </c>
      <c r="U349">
        <v>0</v>
      </c>
      <c r="V349">
        <v>0</v>
      </c>
      <c r="W349">
        <v>214892.52</v>
      </c>
      <c r="X349">
        <v>251271.4</v>
      </c>
      <c r="Y349">
        <v>29764.77</v>
      </c>
      <c r="Z349">
        <v>126061.01</v>
      </c>
      <c r="AA349">
        <v>39192.720000000001</v>
      </c>
      <c r="AB349">
        <v>17152.939999999999</v>
      </c>
      <c r="AC349">
        <v>10763.82</v>
      </c>
      <c r="AD349">
        <v>0</v>
      </c>
      <c r="AE349">
        <v>1078744.58</v>
      </c>
      <c r="AF349">
        <v>20416</v>
      </c>
      <c r="AG349" t="s">
        <v>128</v>
      </c>
      <c r="AH349" t="s">
        <v>129</v>
      </c>
      <c r="AI349" t="s">
        <v>128</v>
      </c>
      <c r="AJ349" t="s">
        <v>129</v>
      </c>
      <c r="AK349">
        <v>6830</v>
      </c>
      <c r="AL349" t="s">
        <v>44</v>
      </c>
      <c r="AM349">
        <v>3</v>
      </c>
      <c r="AN349">
        <v>3</v>
      </c>
      <c r="AO349">
        <v>2025</v>
      </c>
      <c r="AP349">
        <v>2</v>
      </c>
    </row>
    <row r="350" spans="1:42" x14ac:dyDescent="0.25">
      <c r="A350">
        <v>11425.91</v>
      </c>
      <c r="B350">
        <v>83301.52</v>
      </c>
      <c r="C350">
        <v>24101.07</v>
      </c>
      <c r="D350">
        <v>0</v>
      </c>
      <c r="E350">
        <v>0</v>
      </c>
      <c r="F350">
        <v>118828.49</v>
      </c>
      <c r="G350">
        <v>1703.91</v>
      </c>
      <c r="H350">
        <v>15836.44</v>
      </c>
      <c r="I350">
        <v>10319.77</v>
      </c>
      <c r="J350">
        <v>27860.13</v>
      </c>
      <c r="K350">
        <v>146688.62</v>
      </c>
      <c r="L350">
        <v>117.72</v>
      </c>
      <c r="M350">
        <v>7761.82</v>
      </c>
      <c r="N350">
        <v>0</v>
      </c>
      <c r="O350">
        <v>0</v>
      </c>
      <c r="P350">
        <v>7879.53</v>
      </c>
      <c r="Q350">
        <v>0</v>
      </c>
      <c r="R350">
        <v>606.77</v>
      </c>
      <c r="S350">
        <v>989.25</v>
      </c>
      <c r="T350">
        <v>39100.53</v>
      </c>
      <c r="U350">
        <v>0</v>
      </c>
      <c r="V350">
        <v>0</v>
      </c>
      <c r="W350">
        <v>13304.25</v>
      </c>
      <c r="X350">
        <v>54000.800000000003</v>
      </c>
      <c r="Y350">
        <v>0</v>
      </c>
      <c r="Z350">
        <v>3905.34</v>
      </c>
      <c r="AA350">
        <v>1158.92</v>
      </c>
      <c r="AB350">
        <v>237.56</v>
      </c>
      <c r="AC350">
        <v>21908.69</v>
      </c>
      <c r="AD350">
        <v>0</v>
      </c>
      <c r="AE350">
        <v>235779.45</v>
      </c>
      <c r="AF350">
        <v>20363</v>
      </c>
      <c r="AG350" t="s">
        <v>77</v>
      </c>
      <c r="AH350" t="s">
        <v>78</v>
      </c>
      <c r="AI350" t="s">
        <v>77</v>
      </c>
      <c r="AJ350" t="s">
        <v>78</v>
      </c>
      <c r="AK350">
        <v>7024</v>
      </c>
      <c r="AL350" t="s">
        <v>44</v>
      </c>
      <c r="AM350">
        <v>2</v>
      </c>
      <c r="AN350">
        <v>2</v>
      </c>
      <c r="AO350">
        <v>2025</v>
      </c>
      <c r="AP350">
        <v>1</v>
      </c>
    </row>
    <row r="351" spans="1:42" x14ac:dyDescent="0.25">
      <c r="A351">
        <v>11458.29</v>
      </c>
      <c r="B351">
        <v>402265.05</v>
      </c>
      <c r="C351">
        <v>27308.9</v>
      </c>
      <c r="D351">
        <v>73087.87</v>
      </c>
      <c r="E351">
        <v>171578.99</v>
      </c>
      <c r="F351">
        <v>685699.09</v>
      </c>
      <c r="G351">
        <v>71001.17</v>
      </c>
      <c r="H351">
        <v>153801.09</v>
      </c>
      <c r="I351">
        <v>40645.54</v>
      </c>
      <c r="J351">
        <v>265447.8</v>
      </c>
      <c r="K351">
        <v>951146.89</v>
      </c>
      <c r="L351">
        <v>678331.08</v>
      </c>
      <c r="M351">
        <v>36059.910000000003</v>
      </c>
      <c r="N351">
        <v>132955.49</v>
      </c>
      <c r="O351">
        <v>20741.830000000002</v>
      </c>
      <c r="P351">
        <v>868088.31</v>
      </c>
      <c r="Q351">
        <v>12036.01</v>
      </c>
      <c r="R351">
        <v>75516.05</v>
      </c>
      <c r="S351">
        <v>6968.27</v>
      </c>
      <c r="T351">
        <v>163440.37</v>
      </c>
      <c r="U351">
        <v>35157.25</v>
      </c>
      <c r="V351">
        <v>2499.12</v>
      </c>
      <c r="W351">
        <v>282244.08</v>
      </c>
      <c r="X351">
        <v>577861.16</v>
      </c>
      <c r="Y351">
        <v>61859.22</v>
      </c>
      <c r="Z351">
        <v>62844.25</v>
      </c>
      <c r="AA351">
        <v>159706.82999999999</v>
      </c>
      <c r="AB351">
        <v>5280.66</v>
      </c>
      <c r="AC351">
        <v>139622.07999999999</v>
      </c>
      <c r="AD351">
        <v>51884.34</v>
      </c>
      <c r="AE351">
        <v>2878293.74</v>
      </c>
      <c r="AF351">
        <v>19977</v>
      </c>
      <c r="AG351" t="s">
        <v>142</v>
      </c>
      <c r="AH351" t="s">
        <v>143</v>
      </c>
      <c r="AI351" t="s">
        <v>142</v>
      </c>
      <c r="AJ351" t="s">
        <v>143</v>
      </c>
      <c r="AK351">
        <v>10874</v>
      </c>
      <c r="AL351" t="s">
        <v>53</v>
      </c>
      <c r="AM351">
        <v>3</v>
      </c>
      <c r="AN351">
        <v>3</v>
      </c>
      <c r="AO351">
        <v>2025</v>
      </c>
      <c r="AP351">
        <v>2</v>
      </c>
    </row>
    <row r="352" spans="1:42" x14ac:dyDescent="0.25">
      <c r="A352">
        <v>11637.9</v>
      </c>
      <c r="B352">
        <v>195109.86</v>
      </c>
      <c r="C352">
        <v>22353.32</v>
      </c>
      <c r="D352">
        <v>3114.04</v>
      </c>
      <c r="E352">
        <v>17666.37</v>
      </c>
      <c r="F352">
        <v>249881.5</v>
      </c>
      <c r="G352">
        <v>9085.09</v>
      </c>
      <c r="H352">
        <v>61482.34</v>
      </c>
      <c r="I352">
        <v>22020.53</v>
      </c>
      <c r="J352">
        <v>92587.96</v>
      </c>
      <c r="K352">
        <v>342469.45</v>
      </c>
      <c r="L352">
        <v>249839.92</v>
      </c>
      <c r="M352">
        <v>38815.360000000001</v>
      </c>
      <c r="N352">
        <v>5566.62</v>
      </c>
      <c r="O352">
        <v>3611.82</v>
      </c>
      <c r="P352">
        <v>297833.71000000002</v>
      </c>
      <c r="Q352">
        <v>11704.27</v>
      </c>
      <c r="R352">
        <v>10566.64</v>
      </c>
      <c r="S352">
        <v>4757.0200000000004</v>
      </c>
      <c r="T352">
        <v>14447.85</v>
      </c>
      <c r="U352">
        <v>0</v>
      </c>
      <c r="V352">
        <v>0</v>
      </c>
      <c r="W352">
        <v>232576.97</v>
      </c>
      <c r="X352">
        <v>274052.75</v>
      </c>
      <c r="Y352">
        <v>31219.45</v>
      </c>
      <c r="Z352">
        <v>134450.01999999999</v>
      </c>
      <c r="AA352">
        <v>37307.599999999999</v>
      </c>
      <c r="AB352">
        <v>21832.35</v>
      </c>
      <c r="AC352">
        <v>19217.919999999998</v>
      </c>
      <c r="AD352">
        <v>0</v>
      </c>
      <c r="AE352">
        <v>1158383.25</v>
      </c>
      <c r="AF352">
        <v>20416</v>
      </c>
      <c r="AG352" t="s">
        <v>128</v>
      </c>
      <c r="AH352" t="s">
        <v>129</v>
      </c>
      <c r="AI352" t="s">
        <v>128</v>
      </c>
      <c r="AJ352" t="s">
        <v>129</v>
      </c>
      <c r="AK352">
        <v>6830</v>
      </c>
      <c r="AL352" t="s">
        <v>44</v>
      </c>
      <c r="AM352">
        <v>3</v>
      </c>
      <c r="AN352">
        <v>3</v>
      </c>
      <c r="AO352">
        <v>2025</v>
      </c>
      <c r="AP352">
        <v>1</v>
      </c>
    </row>
    <row r="353" spans="1:42" x14ac:dyDescent="0.25">
      <c r="A353">
        <v>11701.8</v>
      </c>
      <c r="B353">
        <v>128425.16</v>
      </c>
      <c r="C353">
        <v>4655.9799999999996</v>
      </c>
      <c r="D353">
        <v>6730.32</v>
      </c>
      <c r="E353">
        <v>23962.720000000001</v>
      </c>
      <c r="F353">
        <v>175475.99</v>
      </c>
      <c r="G353">
        <v>58083.42</v>
      </c>
      <c r="H353">
        <v>33590.49</v>
      </c>
      <c r="I353">
        <v>7406.77</v>
      </c>
      <c r="J353">
        <v>99080.68</v>
      </c>
      <c r="K353">
        <v>274556.65999999997</v>
      </c>
      <c r="L353">
        <v>283196.23</v>
      </c>
      <c r="M353">
        <v>27250.87</v>
      </c>
      <c r="N353">
        <v>212.36</v>
      </c>
      <c r="O353">
        <v>9006.6299999999992</v>
      </c>
      <c r="P353">
        <v>319666.09999999998</v>
      </c>
      <c r="Q353">
        <v>293.60000000000002</v>
      </c>
      <c r="R353">
        <v>29858.01</v>
      </c>
      <c r="S353">
        <v>3727.03</v>
      </c>
      <c r="T353">
        <v>51056.31</v>
      </c>
      <c r="U353">
        <v>2425.8000000000002</v>
      </c>
      <c r="V353">
        <v>430.63</v>
      </c>
      <c r="W353">
        <v>54355.06</v>
      </c>
      <c r="X353">
        <v>142146.44</v>
      </c>
      <c r="Y353">
        <v>23879.32</v>
      </c>
      <c r="Z353">
        <v>51175.77</v>
      </c>
      <c r="AA353">
        <v>76432.649999999994</v>
      </c>
      <c r="AB353">
        <v>0</v>
      </c>
      <c r="AC353">
        <v>3045.57</v>
      </c>
      <c r="AD353">
        <v>754.62</v>
      </c>
      <c r="AE353">
        <v>891657.13</v>
      </c>
      <c r="AF353">
        <v>20007</v>
      </c>
      <c r="AG353" t="s">
        <v>140</v>
      </c>
      <c r="AH353" t="s">
        <v>141</v>
      </c>
      <c r="AI353" t="s">
        <v>140</v>
      </c>
      <c r="AJ353" t="s">
        <v>141</v>
      </c>
      <c r="AK353">
        <v>16087</v>
      </c>
      <c r="AL353" t="s">
        <v>47</v>
      </c>
      <c r="AM353">
        <v>3</v>
      </c>
      <c r="AN353">
        <v>3</v>
      </c>
      <c r="AO353">
        <v>2025</v>
      </c>
      <c r="AP353">
        <v>4</v>
      </c>
    </row>
    <row r="354" spans="1:42" x14ac:dyDescent="0.25">
      <c r="A354">
        <v>12198</v>
      </c>
      <c r="B354">
        <v>1416797</v>
      </c>
      <c r="C354">
        <v>122954</v>
      </c>
      <c r="D354">
        <v>514468</v>
      </c>
      <c r="E354">
        <v>369584</v>
      </c>
      <c r="F354">
        <v>2436001</v>
      </c>
      <c r="G354">
        <v>189180</v>
      </c>
      <c r="H354">
        <v>735790</v>
      </c>
      <c r="I354">
        <v>135139</v>
      </c>
      <c r="J354">
        <v>1060109</v>
      </c>
      <c r="K354">
        <v>3496110</v>
      </c>
      <c r="L354">
        <v>1304437</v>
      </c>
      <c r="M354">
        <v>106311</v>
      </c>
      <c r="N354">
        <v>17956</v>
      </c>
      <c r="O354">
        <v>20717</v>
      </c>
      <c r="P354">
        <v>1449421</v>
      </c>
      <c r="Q354">
        <v>98081</v>
      </c>
      <c r="R354">
        <v>9134</v>
      </c>
      <c r="S354">
        <v>16910</v>
      </c>
      <c r="T354">
        <v>216421</v>
      </c>
      <c r="U354">
        <v>3801</v>
      </c>
      <c r="V354">
        <v>658</v>
      </c>
      <c r="W354">
        <v>523895</v>
      </c>
      <c r="X354">
        <v>868900</v>
      </c>
      <c r="Y354">
        <v>211360</v>
      </c>
      <c r="Z354">
        <v>421097</v>
      </c>
      <c r="AA354">
        <v>356140</v>
      </c>
      <c r="AB354">
        <v>10612</v>
      </c>
      <c r="AC354">
        <v>30896</v>
      </c>
      <c r="AD354">
        <v>53945</v>
      </c>
      <c r="AE354">
        <v>6898481</v>
      </c>
      <c r="AF354">
        <v>19393</v>
      </c>
      <c r="AG354" t="s">
        <v>99</v>
      </c>
      <c r="AH354" t="s">
        <v>100</v>
      </c>
      <c r="AI354" t="s">
        <v>99</v>
      </c>
      <c r="AJ354" t="s">
        <v>100</v>
      </c>
      <c r="AK354">
        <v>6725</v>
      </c>
      <c r="AL354" t="s">
        <v>44</v>
      </c>
      <c r="AM354">
        <v>3</v>
      </c>
      <c r="AN354">
        <v>3</v>
      </c>
      <c r="AO354">
        <v>2025</v>
      </c>
      <c r="AP354">
        <v>4</v>
      </c>
    </row>
    <row r="355" spans="1:42" x14ac:dyDescent="0.25">
      <c r="A355">
        <v>12222</v>
      </c>
      <c r="B355">
        <v>1317083</v>
      </c>
      <c r="C355">
        <v>115215</v>
      </c>
      <c r="D355">
        <v>487930</v>
      </c>
      <c r="E355">
        <v>365156</v>
      </c>
      <c r="F355">
        <v>2297606</v>
      </c>
      <c r="G355">
        <v>176576</v>
      </c>
      <c r="H355">
        <v>710188</v>
      </c>
      <c r="I355">
        <v>150339</v>
      </c>
      <c r="J355">
        <v>1037103</v>
      </c>
      <c r="K355">
        <v>3334709</v>
      </c>
      <c r="L355">
        <v>1284110</v>
      </c>
      <c r="M355">
        <v>89291</v>
      </c>
      <c r="N355">
        <v>18266</v>
      </c>
      <c r="O355">
        <v>19289</v>
      </c>
      <c r="P355">
        <v>1410956</v>
      </c>
      <c r="Q355">
        <v>82356</v>
      </c>
      <c r="R355">
        <v>8126</v>
      </c>
      <c r="S355">
        <v>17784</v>
      </c>
      <c r="T355">
        <v>250377</v>
      </c>
      <c r="U355">
        <v>5408</v>
      </c>
      <c r="V355">
        <v>692</v>
      </c>
      <c r="W355">
        <v>524869</v>
      </c>
      <c r="X355">
        <v>889612</v>
      </c>
      <c r="Y355">
        <v>198246</v>
      </c>
      <c r="Z355">
        <v>453698</v>
      </c>
      <c r="AA355">
        <v>378935</v>
      </c>
      <c r="AB355">
        <v>10432</v>
      </c>
      <c r="AC355">
        <v>82510</v>
      </c>
      <c r="AD355">
        <v>38859</v>
      </c>
      <c r="AE355">
        <v>6797957</v>
      </c>
      <c r="AF355">
        <v>19393</v>
      </c>
      <c r="AG355" t="s">
        <v>99</v>
      </c>
      <c r="AH355" t="s">
        <v>100</v>
      </c>
      <c r="AI355" t="s">
        <v>99</v>
      </c>
      <c r="AJ355" t="s">
        <v>100</v>
      </c>
      <c r="AK355">
        <v>6725</v>
      </c>
      <c r="AL355" t="s">
        <v>44</v>
      </c>
      <c r="AM355">
        <v>3</v>
      </c>
      <c r="AN355">
        <v>3</v>
      </c>
      <c r="AO355">
        <v>2025</v>
      </c>
      <c r="AP355">
        <v>2</v>
      </c>
    </row>
    <row r="356" spans="1:42" x14ac:dyDescent="0.25">
      <c r="A356">
        <v>12260.98</v>
      </c>
      <c r="B356">
        <v>179933.9</v>
      </c>
      <c r="C356">
        <v>20082.43</v>
      </c>
      <c r="D356">
        <v>2872.14</v>
      </c>
      <c r="E356">
        <v>22847.54</v>
      </c>
      <c r="F356">
        <v>237996.99</v>
      </c>
      <c r="G356">
        <v>8691.9500000000007</v>
      </c>
      <c r="H356">
        <v>59168.06</v>
      </c>
      <c r="I356">
        <v>14110</v>
      </c>
      <c r="J356">
        <v>81970.02</v>
      </c>
      <c r="K356">
        <v>319967</v>
      </c>
      <c r="L356">
        <v>220631.34</v>
      </c>
      <c r="M356">
        <v>34693.040000000001</v>
      </c>
      <c r="N356">
        <v>3728.07</v>
      </c>
      <c r="O356">
        <v>4266.25</v>
      </c>
      <c r="P356">
        <v>263318.69</v>
      </c>
      <c r="Q356">
        <v>10015.15</v>
      </c>
      <c r="R356">
        <v>8672.44</v>
      </c>
      <c r="S356">
        <v>4815.7</v>
      </c>
      <c r="T356">
        <v>13724</v>
      </c>
      <c r="U356">
        <v>0</v>
      </c>
      <c r="V356">
        <v>0</v>
      </c>
      <c r="W356">
        <v>209663.05</v>
      </c>
      <c r="X356">
        <v>246890.32</v>
      </c>
      <c r="Y356">
        <v>28663.47</v>
      </c>
      <c r="Z356">
        <v>134189.51999999999</v>
      </c>
      <c r="AA356">
        <v>35502.68</v>
      </c>
      <c r="AB356">
        <v>15043.26</v>
      </c>
      <c r="AC356">
        <v>-91189.69</v>
      </c>
      <c r="AD356">
        <v>0</v>
      </c>
      <c r="AE356">
        <v>952385.25</v>
      </c>
      <c r="AF356">
        <v>20416</v>
      </c>
      <c r="AG356" t="s">
        <v>128</v>
      </c>
      <c r="AH356" t="s">
        <v>129</v>
      </c>
      <c r="AI356" t="s">
        <v>128</v>
      </c>
      <c r="AJ356" t="s">
        <v>129</v>
      </c>
      <c r="AK356">
        <v>6830</v>
      </c>
      <c r="AL356" t="s">
        <v>44</v>
      </c>
      <c r="AM356">
        <v>3</v>
      </c>
      <c r="AN356">
        <v>3</v>
      </c>
      <c r="AO356">
        <v>2025</v>
      </c>
      <c r="AP356">
        <v>3</v>
      </c>
    </row>
    <row r="357" spans="1:42" x14ac:dyDescent="0.25">
      <c r="A357">
        <v>12352.07</v>
      </c>
      <c r="B357">
        <v>136282.19</v>
      </c>
      <c r="C357">
        <v>19571.490000000002</v>
      </c>
      <c r="D357">
        <v>3601.99</v>
      </c>
      <c r="E357">
        <v>18775.46</v>
      </c>
      <c r="F357">
        <v>190583.2</v>
      </c>
      <c r="G357">
        <v>24629.64</v>
      </c>
      <c r="H357">
        <v>35165.620000000003</v>
      </c>
      <c r="I357">
        <v>11742.25</v>
      </c>
      <c r="J357">
        <v>71537.52</v>
      </c>
      <c r="K357">
        <v>262120.72</v>
      </c>
      <c r="L357">
        <v>208654.05</v>
      </c>
      <c r="M357">
        <v>11775.7</v>
      </c>
      <c r="N357">
        <v>-31.71</v>
      </c>
      <c r="O357">
        <v>3309.08</v>
      </c>
      <c r="P357">
        <v>223707.12</v>
      </c>
      <c r="Q357">
        <v>1027.3499999999999</v>
      </c>
      <c r="R357">
        <v>2268.61</v>
      </c>
      <c r="S357">
        <v>2722.42</v>
      </c>
      <c r="T357">
        <v>24371.919999999998</v>
      </c>
      <c r="U357">
        <v>617.32000000000005</v>
      </c>
      <c r="V357">
        <v>0</v>
      </c>
      <c r="W357">
        <v>134794.42000000001</v>
      </c>
      <c r="X357">
        <v>165802.03</v>
      </c>
      <c r="Y357">
        <v>29658.46</v>
      </c>
      <c r="Z357">
        <v>238313.60000000001</v>
      </c>
      <c r="AA357">
        <v>23096.54</v>
      </c>
      <c r="AB357">
        <v>89.79</v>
      </c>
      <c r="AC357">
        <v>-32022.13</v>
      </c>
      <c r="AD357">
        <v>0</v>
      </c>
      <c r="AE357">
        <v>910766.12</v>
      </c>
      <c r="AF357">
        <v>20436</v>
      </c>
      <c r="AG357" t="s">
        <v>122</v>
      </c>
      <c r="AH357" t="s">
        <v>123</v>
      </c>
      <c r="AI357" t="s">
        <v>122</v>
      </c>
      <c r="AJ357" t="s">
        <v>123</v>
      </c>
      <c r="AK357">
        <v>6460</v>
      </c>
      <c r="AL357" t="s">
        <v>44</v>
      </c>
      <c r="AM357">
        <v>3</v>
      </c>
      <c r="AN357">
        <v>3</v>
      </c>
      <c r="AO357">
        <v>2025</v>
      </c>
      <c r="AP357">
        <v>3</v>
      </c>
    </row>
    <row r="358" spans="1:42" x14ac:dyDescent="0.25">
      <c r="A358">
        <v>13183.25</v>
      </c>
      <c r="B358">
        <v>120165.64</v>
      </c>
      <c r="C358">
        <v>4832.4799999999996</v>
      </c>
      <c r="D358">
        <v>6618.02</v>
      </c>
      <c r="E358">
        <v>26382.47</v>
      </c>
      <c r="F358">
        <v>171181.85</v>
      </c>
      <c r="G358">
        <v>60970.42</v>
      </c>
      <c r="H358">
        <v>35592.379999999997</v>
      </c>
      <c r="I358">
        <v>8282.69</v>
      </c>
      <c r="J358">
        <v>104845.49</v>
      </c>
      <c r="K358">
        <v>276027.33</v>
      </c>
      <c r="L358">
        <v>277081.44</v>
      </c>
      <c r="M358">
        <v>24425.02</v>
      </c>
      <c r="N358">
        <v>495.47</v>
      </c>
      <c r="O358">
        <v>8030.14</v>
      </c>
      <c r="P358">
        <v>310032.07</v>
      </c>
      <c r="Q358">
        <v>450.67</v>
      </c>
      <c r="R358">
        <v>30805.19</v>
      </c>
      <c r="S358">
        <v>3929.01</v>
      </c>
      <c r="T358">
        <v>42711.81</v>
      </c>
      <c r="U358">
        <v>3933.31</v>
      </c>
      <c r="V358">
        <v>-1068.6199999999999</v>
      </c>
      <c r="W358">
        <v>50971.35</v>
      </c>
      <c r="X358">
        <v>131732.72</v>
      </c>
      <c r="Y358">
        <v>23812.93</v>
      </c>
      <c r="Z358">
        <v>50694.65</v>
      </c>
      <c r="AA358">
        <v>72407.78</v>
      </c>
      <c r="AB358">
        <v>0</v>
      </c>
      <c r="AC358">
        <v>4328.21</v>
      </c>
      <c r="AD358">
        <v>699.95</v>
      </c>
      <c r="AE358">
        <v>869735.63</v>
      </c>
      <c r="AF358">
        <v>20007</v>
      </c>
      <c r="AG358" t="s">
        <v>140</v>
      </c>
      <c r="AH358" t="s">
        <v>141</v>
      </c>
      <c r="AI358" t="s">
        <v>140</v>
      </c>
      <c r="AJ358" t="s">
        <v>141</v>
      </c>
      <c r="AK358">
        <v>16087</v>
      </c>
      <c r="AL358" t="s">
        <v>47</v>
      </c>
      <c r="AM358">
        <v>3</v>
      </c>
      <c r="AN358">
        <v>3</v>
      </c>
      <c r="AO358">
        <v>2025</v>
      </c>
      <c r="AP358">
        <v>3</v>
      </c>
    </row>
    <row r="359" spans="1:42" x14ac:dyDescent="0.25">
      <c r="A359">
        <v>15878.37</v>
      </c>
      <c r="B359">
        <v>49289.46</v>
      </c>
      <c r="C359">
        <v>43007.72</v>
      </c>
      <c r="D359">
        <v>8212.48</v>
      </c>
      <c r="F359">
        <v>116388.03</v>
      </c>
      <c r="G359">
        <v>27469.919999999998</v>
      </c>
      <c r="H359">
        <v>18411.14</v>
      </c>
      <c r="I359">
        <v>6704.71</v>
      </c>
      <c r="J359">
        <v>52585.78</v>
      </c>
      <c r="K359">
        <v>168973.81</v>
      </c>
      <c r="L359">
        <v>170333.67</v>
      </c>
      <c r="M359">
        <v>9963.33</v>
      </c>
      <c r="O359">
        <v>164.31</v>
      </c>
      <c r="P359">
        <v>180461.3</v>
      </c>
      <c r="Q359">
        <v>2201.37</v>
      </c>
      <c r="R359">
        <v>1656.7</v>
      </c>
      <c r="S359">
        <v>1602.81</v>
      </c>
      <c r="T359">
        <v>64390.73</v>
      </c>
      <c r="V359">
        <v>11130.6</v>
      </c>
      <c r="W359">
        <v>36997.230000000003</v>
      </c>
      <c r="X359">
        <v>117979.44</v>
      </c>
      <c r="Y359">
        <v>8752.42</v>
      </c>
      <c r="Z359">
        <v>25731.200000000001</v>
      </c>
      <c r="AA359">
        <v>19165.63</v>
      </c>
      <c r="AD359">
        <v>53694.85</v>
      </c>
      <c r="AE359">
        <v>574758.65</v>
      </c>
      <c r="AF359">
        <v>20370</v>
      </c>
      <c r="AG359" t="s">
        <v>81</v>
      </c>
      <c r="AH359" t="s">
        <v>82</v>
      </c>
      <c r="AI359" t="s">
        <v>81</v>
      </c>
      <c r="AJ359" t="s">
        <v>82</v>
      </c>
      <c r="AK359">
        <v>16683</v>
      </c>
      <c r="AL359" t="s">
        <v>47</v>
      </c>
      <c r="AM359">
        <v>3</v>
      </c>
      <c r="AN359">
        <v>3</v>
      </c>
      <c r="AO359">
        <v>2025</v>
      </c>
      <c r="AP359">
        <v>4</v>
      </c>
    </row>
    <row r="360" spans="1:42" x14ac:dyDescent="0.25">
      <c r="A360">
        <v>16701.22</v>
      </c>
      <c r="B360">
        <v>936923.87</v>
      </c>
      <c r="C360">
        <v>96138.15</v>
      </c>
      <c r="D360">
        <v>452688.31</v>
      </c>
      <c r="E360">
        <v>383525.44</v>
      </c>
      <c r="F360">
        <v>1885976.98</v>
      </c>
      <c r="G360">
        <v>146591.26</v>
      </c>
      <c r="H360">
        <v>474103.22</v>
      </c>
      <c r="I360">
        <v>170290.45</v>
      </c>
      <c r="J360">
        <v>790984.92</v>
      </c>
      <c r="K360">
        <v>2676961.9</v>
      </c>
      <c r="L360">
        <v>1223692.98</v>
      </c>
      <c r="M360">
        <v>144762.84</v>
      </c>
      <c r="N360">
        <v>168485.97</v>
      </c>
      <c r="O360">
        <v>43540.88</v>
      </c>
      <c r="P360">
        <v>1580482.67</v>
      </c>
      <c r="Q360">
        <v>35952.839999999997</v>
      </c>
      <c r="R360">
        <v>17830.13</v>
      </c>
      <c r="S360">
        <v>15305.7</v>
      </c>
      <c r="T360">
        <v>348317.31</v>
      </c>
      <c r="U360">
        <v>85192.06</v>
      </c>
      <c r="V360">
        <v>92.94</v>
      </c>
      <c r="W360">
        <v>827343.75</v>
      </c>
      <c r="X360">
        <v>1330034.72</v>
      </c>
      <c r="Y360">
        <v>233600.86</v>
      </c>
      <c r="Z360">
        <v>465780.68</v>
      </c>
      <c r="AA360">
        <v>386187.95</v>
      </c>
      <c r="AB360">
        <v>13042.67</v>
      </c>
      <c r="AC360">
        <v>10881.64</v>
      </c>
      <c r="AD360">
        <v>1145419.72</v>
      </c>
      <c r="AE360">
        <v>7842392.8099999996</v>
      </c>
      <c r="AF360">
        <v>19977</v>
      </c>
      <c r="AG360" t="s">
        <v>142</v>
      </c>
      <c r="AH360" t="s">
        <v>143</v>
      </c>
      <c r="AI360" t="s">
        <v>142</v>
      </c>
      <c r="AJ360" t="s">
        <v>143</v>
      </c>
      <c r="AK360" t="s">
        <v>151</v>
      </c>
      <c r="AL360" t="s">
        <v>44</v>
      </c>
      <c r="AM360">
        <v>3</v>
      </c>
      <c r="AN360">
        <v>3</v>
      </c>
      <c r="AO360">
        <v>2025</v>
      </c>
      <c r="AP360">
        <v>1</v>
      </c>
    </row>
    <row r="361" spans="1:42" x14ac:dyDescent="0.25">
      <c r="A361">
        <v>18114</v>
      </c>
      <c r="B361">
        <v>77085</v>
      </c>
      <c r="C361">
        <v>30074</v>
      </c>
      <c r="D361">
        <v>45648</v>
      </c>
      <c r="E361">
        <v>49338</v>
      </c>
      <c r="F361">
        <v>220259</v>
      </c>
      <c r="G361">
        <v>25249</v>
      </c>
      <c r="H361">
        <v>20065</v>
      </c>
      <c r="I361">
        <v>22565</v>
      </c>
      <c r="J361">
        <v>67879</v>
      </c>
      <c r="K361">
        <v>288138</v>
      </c>
      <c r="L361">
        <v>155007</v>
      </c>
      <c r="M361">
        <v>45494</v>
      </c>
      <c r="N361">
        <v>0</v>
      </c>
      <c r="O361">
        <v>8415</v>
      </c>
      <c r="P361">
        <v>208916</v>
      </c>
      <c r="Q361">
        <v>4354</v>
      </c>
      <c r="R361">
        <v>11669</v>
      </c>
      <c r="S361">
        <v>2902</v>
      </c>
      <c r="T361">
        <v>16771</v>
      </c>
      <c r="V361">
        <v>160</v>
      </c>
      <c r="W361">
        <v>145270</v>
      </c>
      <c r="X361">
        <v>181126</v>
      </c>
      <c r="Y361">
        <v>14854</v>
      </c>
      <c r="Z361">
        <v>24406</v>
      </c>
      <c r="AA361">
        <v>100395</v>
      </c>
      <c r="AB361">
        <v>11</v>
      </c>
      <c r="AC361">
        <v>38035</v>
      </c>
      <c r="AD361">
        <v>588034</v>
      </c>
      <c r="AE361">
        <v>1443915</v>
      </c>
      <c r="AF361">
        <v>20107</v>
      </c>
      <c r="AG361" t="s">
        <v>144</v>
      </c>
      <c r="AH361" t="s">
        <v>145</v>
      </c>
      <c r="AI361" t="s">
        <v>144</v>
      </c>
      <c r="AJ361" t="s">
        <v>145</v>
      </c>
      <c r="AK361">
        <v>16197</v>
      </c>
      <c r="AL361" t="s">
        <v>64</v>
      </c>
      <c r="AM361">
        <v>3</v>
      </c>
      <c r="AN361">
        <v>3</v>
      </c>
      <c r="AO361">
        <v>2025</v>
      </c>
      <c r="AP361">
        <v>2</v>
      </c>
    </row>
    <row r="362" spans="1:42" x14ac:dyDescent="0.25">
      <c r="A362">
        <v>18181</v>
      </c>
      <c r="B362">
        <v>81342</v>
      </c>
      <c r="C362">
        <v>30500</v>
      </c>
      <c r="D362">
        <v>45129</v>
      </c>
      <c r="E362">
        <v>52377</v>
      </c>
      <c r="F362">
        <v>227529</v>
      </c>
      <c r="G362">
        <v>24002</v>
      </c>
      <c r="H362">
        <v>25814</v>
      </c>
      <c r="I362">
        <v>23436</v>
      </c>
      <c r="J362">
        <v>73252</v>
      </c>
      <c r="K362">
        <v>300781</v>
      </c>
      <c r="L362">
        <v>176033</v>
      </c>
      <c r="M362">
        <v>48333</v>
      </c>
      <c r="N362">
        <v>0</v>
      </c>
      <c r="O362">
        <v>9506</v>
      </c>
      <c r="P362">
        <v>233872</v>
      </c>
      <c r="Q362">
        <v>3261</v>
      </c>
      <c r="R362">
        <v>12262</v>
      </c>
      <c r="S362">
        <v>2783</v>
      </c>
      <c r="T362">
        <v>23200</v>
      </c>
      <c r="V362">
        <v>201</v>
      </c>
      <c r="W362">
        <v>149704</v>
      </c>
      <c r="X362">
        <v>191411</v>
      </c>
      <c r="Y362">
        <v>14269</v>
      </c>
      <c r="Z362">
        <v>25704</v>
      </c>
      <c r="AA362">
        <v>104755</v>
      </c>
      <c r="AB362">
        <v>0</v>
      </c>
      <c r="AC362">
        <v>23499</v>
      </c>
      <c r="AD362">
        <v>611898</v>
      </c>
      <c r="AE362">
        <v>1506189</v>
      </c>
      <c r="AF362">
        <v>20107</v>
      </c>
      <c r="AG362" t="s">
        <v>144</v>
      </c>
      <c r="AH362" t="s">
        <v>145</v>
      </c>
      <c r="AI362" t="s">
        <v>144</v>
      </c>
      <c r="AJ362" t="s">
        <v>145</v>
      </c>
      <c r="AK362">
        <v>16197</v>
      </c>
      <c r="AL362" t="s">
        <v>64</v>
      </c>
      <c r="AM362">
        <v>3</v>
      </c>
      <c r="AN362">
        <v>3</v>
      </c>
      <c r="AO362">
        <v>2025</v>
      </c>
      <c r="AP362">
        <v>1</v>
      </c>
    </row>
    <row r="363" spans="1:42" x14ac:dyDescent="0.25">
      <c r="A363">
        <v>19280</v>
      </c>
      <c r="B363">
        <v>49038</v>
      </c>
      <c r="C363">
        <v>10540</v>
      </c>
      <c r="D363">
        <v>91906</v>
      </c>
      <c r="E363">
        <v>43383</v>
      </c>
      <c r="F363">
        <v>214147</v>
      </c>
      <c r="G363">
        <v>15709</v>
      </c>
      <c r="H363">
        <v>29685</v>
      </c>
      <c r="I363">
        <v>37888</v>
      </c>
      <c r="J363">
        <v>83282</v>
      </c>
      <c r="K363">
        <v>297429</v>
      </c>
      <c r="L363">
        <v>109016</v>
      </c>
      <c r="M363">
        <v>25818</v>
      </c>
      <c r="N363">
        <v>0</v>
      </c>
      <c r="O363">
        <v>14024</v>
      </c>
      <c r="P363">
        <v>148858</v>
      </c>
      <c r="Q363">
        <v>3470</v>
      </c>
      <c r="R363">
        <v>20409</v>
      </c>
      <c r="S363">
        <v>2864</v>
      </c>
      <c r="T363">
        <v>14890</v>
      </c>
      <c r="V363">
        <v>10</v>
      </c>
      <c r="W363">
        <v>127532</v>
      </c>
      <c r="X363">
        <v>169175</v>
      </c>
      <c r="Y363">
        <v>8091</v>
      </c>
      <c r="Z363">
        <v>26330</v>
      </c>
      <c r="AA363">
        <v>100234</v>
      </c>
      <c r="AB363">
        <v>0</v>
      </c>
      <c r="AC363">
        <v>114684</v>
      </c>
      <c r="AD363">
        <v>1907934</v>
      </c>
      <c r="AE363">
        <v>2772735</v>
      </c>
      <c r="AF363">
        <v>20107</v>
      </c>
      <c r="AG363" t="s">
        <v>144</v>
      </c>
      <c r="AH363" t="s">
        <v>145</v>
      </c>
      <c r="AI363" t="s">
        <v>144</v>
      </c>
      <c r="AJ363" t="s">
        <v>145</v>
      </c>
      <c r="AK363">
        <v>16196</v>
      </c>
      <c r="AL363" t="s">
        <v>53</v>
      </c>
      <c r="AM363">
        <v>3</v>
      </c>
      <c r="AN363">
        <v>3</v>
      </c>
      <c r="AO363">
        <v>2025</v>
      </c>
      <c r="AP363">
        <v>1</v>
      </c>
    </row>
    <row r="364" spans="1:42" x14ac:dyDescent="0.25">
      <c r="A364">
        <v>19440</v>
      </c>
      <c r="B364">
        <v>94365</v>
      </c>
      <c r="C364">
        <v>33774</v>
      </c>
      <c r="D364">
        <v>47645</v>
      </c>
      <c r="E364">
        <v>53619</v>
      </c>
      <c r="F364">
        <v>248843</v>
      </c>
      <c r="G364">
        <v>30545</v>
      </c>
      <c r="H364">
        <v>25015</v>
      </c>
      <c r="I364">
        <v>19794</v>
      </c>
      <c r="J364">
        <v>75354</v>
      </c>
      <c r="K364">
        <v>324197</v>
      </c>
      <c r="L364">
        <v>188685</v>
      </c>
      <c r="M364">
        <v>42608</v>
      </c>
      <c r="N364">
        <v>0</v>
      </c>
      <c r="O364">
        <v>9302</v>
      </c>
      <c r="P364">
        <v>240595</v>
      </c>
      <c r="Q364">
        <v>2648</v>
      </c>
      <c r="R364">
        <v>12142</v>
      </c>
      <c r="S364">
        <v>3063</v>
      </c>
      <c r="T364">
        <v>29704</v>
      </c>
      <c r="V364">
        <v>72</v>
      </c>
      <c r="W364">
        <v>157230</v>
      </c>
      <c r="X364">
        <v>204859</v>
      </c>
      <c r="Y364">
        <v>12448</v>
      </c>
      <c r="Z364">
        <v>29938</v>
      </c>
      <c r="AA364">
        <v>104767</v>
      </c>
      <c r="AB364">
        <v>35</v>
      </c>
      <c r="AC364">
        <v>42829</v>
      </c>
      <c r="AD364">
        <v>671091</v>
      </c>
      <c r="AE364">
        <v>1630759</v>
      </c>
      <c r="AF364">
        <v>20107</v>
      </c>
      <c r="AG364" t="s">
        <v>144</v>
      </c>
      <c r="AH364" t="s">
        <v>145</v>
      </c>
      <c r="AI364" t="s">
        <v>144</v>
      </c>
      <c r="AJ364" t="s">
        <v>145</v>
      </c>
      <c r="AK364">
        <v>16197</v>
      </c>
      <c r="AL364" t="s">
        <v>64</v>
      </c>
      <c r="AM364">
        <v>3</v>
      </c>
      <c r="AN364">
        <v>3</v>
      </c>
      <c r="AO364">
        <v>2025</v>
      </c>
      <c r="AP364">
        <v>4</v>
      </c>
    </row>
    <row r="365" spans="1:42" x14ac:dyDescent="0.25">
      <c r="A365">
        <v>19593.02</v>
      </c>
      <c r="B365">
        <v>968672.21</v>
      </c>
      <c r="C365">
        <v>108941.62</v>
      </c>
      <c r="D365">
        <v>514910</v>
      </c>
      <c r="E365">
        <v>460652.44</v>
      </c>
      <c r="F365">
        <v>2072769.3</v>
      </c>
      <c r="G365">
        <v>156233.10999999999</v>
      </c>
      <c r="H365">
        <v>495953.95</v>
      </c>
      <c r="I365">
        <v>99187.17</v>
      </c>
      <c r="J365">
        <v>751374.23</v>
      </c>
      <c r="K365">
        <v>2824143.53</v>
      </c>
      <c r="L365">
        <v>1271153.44</v>
      </c>
      <c r="M365">
        <v>152609.31</v>
      </c>
      <c r="N365">
        <v>189126.51</v>
      </c>
      <c r="O365">
        <v>65942.649999999994</v>
      </c>
      <c r="P365">
        <v>1678831.91</v>
      </c>
      <c r="Q365">
        <v>40943.71</v>
      </c>
      <c r="R365">
        <v>17979.830000000002</v>
      </c>
      <c r="S365">
        <v>15710.56</v>
      </c>
      <c r="T365">
        <v>422906.64</v>
      </c>
      <c r="U365">
        <v>96817.52</v>
      </c>
      <c r="V365">
        <v>92.05</v>
      </c>
      <c r="W365">
        <v>871677.84</v>
      </c>
      <c r="X365">
        <v>1466128.15</v>
      </c>
      <c r="Y365">
        <v>264179.13</v>
      </c>
      <c r="Z365">
        <v>552047.14</v>
      </c>
      <c r="AA365">
        <v>372349.4</v>
      </c>
      <c r="AB365">
        <v>29972.59</v>
      </c>
      <c r="AC365">
        <v>53876.17</v>
      </c>
      <c r="AD365">
        <v>1204085.7</v>
      </c>
      <c r="AE365">
        <v>8445613.7200000007</v>
      </c>
      <c r="AF365">
        <v>19977</v>
      </c>
      <c r="AG365" t="s">
        <v>142</v>
      </c>
      <c r="AH365" t="s">
        <v>143</v>
      </c>
      <c r="AI365" t="s">
        <v>142</v>
      </c>
      <c r="AJ365" t="s">
        <v>143</v>
      </c>
      <c r="AK365" t="s">
        <v>151</v>
      </c>
      <c r="AL365" t="s">
        <v>44</v>
      </c>
      <c r="AM365">
        <v>3</v>
      </c>
      <c r="AN365">
        <v>3</v>
      </c>
      <c r="AO365">
        <v>2025</v>
      </c>
      <c r="AP365">
        <v>4</v>
      </c>
    </row>
    <row r="366" spans="1:42" x14ac:dyDescent="0.25">
      <c r="A366">
        <v>20399</v>
      </c>
      <c r="B366">
        <v>48196</v>
      </c>
      <c r="C366">
        <v>9675</v>
      </c>
      <c r="D366">
        <v>96246</v>
      </c>
      <c r="E366">
        <v>42310</v>
      </c>
      <c r="F366">
        <v>216826</v>
      </c>
      <c r="G366">
        <v>18105</v>
      </c>
      <c r="H366">
        <v>24662</v>
      </c>
      <c r="I366">
        <v>38459</v>
      </c>
      <c r="J366">
        <v>81226</v>
      </c>
      <c r="K366">
        <v>298052</v>
      </c>
      <c r="L366">
        <v>104085</v>
      </c>
      <c r="M366">
        <v>26838</v>
      </c>
      <c r="N366">
        <v>0</v>
      </c>
      <c r="O366">
        <v>11025</v>
      </c>
      <c r="P366">
        <v>141948</v>
      </c>
      <c r="Q366">
        <v>4215</v>
      </c>
      <c r="R366">
        <v>19923</v>
      </c>
      <c r="S366">
        <v>4000</v>
      </c>
      <c r="T366">
        <v>11775</v>
      </c>
      <c r="V366">
        <v>6</v>
      </c>
      <c r="W366">
        <v>131263</v>
      </c>
      <c r="X366">
        <v>171182</v>
      </c>
      <c r="Y366">
        <v>7301</v>
      </c>
      <c r="Z366">
        <v>26841</v>
      </c>
      <c r="AA366">
        <v>100526</v>
      </c>
      <c r="AB366">
        <v>11</v>
      </c>
      <c r="AC366">
        <v>126602</v>
      </c>
      <c r="AD366">
        <v>2013906</v>
      </c>
      <c r="AE366">
        <v>2886369</v>
      </c>
      <c r="AF366">
        <v>20107</v>
      </c>
      <c r="AG366" t="s">
        <v>144</v>
      </c>
      <c r="AH366" t="s">
        <v>145</v>
      </c>
      <c r="AI366" t="s">
        <v>144</v>
      </c>
      <c r="AJ366" t="s">
        <v>145</v>
      </c>
      <c r="AK366">
        <v>16196</v>
      </c>
      <c r="AL366" t="s">
        <v>53</v>
      </c>
      <c r="AM366">
        <v>3</v>
      </c>
      <c r="AN366">
        <v>3</v>
      </c>
      <c r="AO366">
        <v>2025</v>
      </c>
      <c r="AP366">
        <v>2</v>
      </c>
    </row>
    <row r="367" spans="1:42" x14ac:dyDescent="0.25">
      <c r="A367">
        <v>21259</v>
      </c>
      <c r="B367">
        <v>78757</v>
      </c>
      <c r="C367">
        <v>35683</v>
      </c>
      <c r="D367">
        <v>46717</v>
      </c>
      <c r="E367">
        <v>51326</v>
      </c>
      <c r="F367">
        <v>233742</v>
      </c>
      <c r="G367">
        <v>26416</v>
      </c>
      <c r="H367">
        <v>20984</v>
      </c>
      <c r="I367">
        <v>21183</v>
      </c>
      <c r="J367">
        <v>68583</v>
      </c>
      <c r="K367">
        <v>302325</v>
      </c>
      <c r="L367">
        <v>173273</v>
      </c>
      <c r="M367">
        <v>52140</v>
      </c>
      <c r="N367">
        <v>0</v>
      </c>
      <c r="O367">
        <v>8936</v>
      </c>
      <c r="P367">
        <v>234349</v>
      </c>
      <c r="Q367">
        <v>2553</v>
      </c>
      <c r="R367">
        <v>11889</v>
      </c>
      <c r="S367">
        <v>2843</v>
      </c>
      <c r="T367">
        <v>29047</v>
      </c>
      <c r="V367">
        <v>136</v>
      </c>
      <c r="W367">
        <v>159531</v>
      </c>
      <c r="X367">
        <v>205999</v>
      </c>
      <c r="Y367">
        <v>15250</v>
      </c>
      <c r="Z367">
        <v>29692</v>
      </c>
      <c r="AA367">
        <v>105603</v>
      </c>
      <c r="AB367">
        <v>6</v>
      </c>
      <c r="AC367">
        <v>30751</v>
      </c>
      <c r="AD367">
        <v>651001</v>
      </c>
      <c r="AE367">
        <v>1574976</v>
      </c>
      <c r="AF367">
        <v>20107</v>
      </c>
      <c r="AG367" t="s">
        <v>144</v>
      </c>
      <c r="AH367" t="s">
        <v>145</v>
      </c>
      <c r="AI367" t="s">
        <v>144</v>
      </c>
      <c r="AJ367" t="s">
        <v>145</v>
      </c>
      <c r="AK367">
        <v>16197</v>
      </c>
      <c r="AL367" t="s">
        <v>64</v>
      </c>
      <c r="AM367">
        <v>3</v>
      </c>
      <c r="AN367">
        <v>3</v>
      </c>
      <c r="AO367">
        <v>2025</v>
      </c>
      <c r="AP367">
        <v>3</v>
      </c>
    </row>
    <row r="368" spans="1:42" x14ac:dyDescent="0.25">
      <c r="A368">
        <v>21637.18</v>
      </c>
      <c r="B368">
        <v>229015.43</v>
      </c>
      <c r="C368">
        <v>36919.29</v>
      </c>
      <c r="D368">
        <v>5249.68</v>
      </c>
      <c r="E368">
        <v>0</v>
      </c>
      <c r="F368">
        <v>292821.58</v>
      </c>
      <c r="G368">
        <v>52394.66</v>
      </c>
      <c r="H368">
        <v>42554.89</v>
      </c>
      <c r="I368">
        <v>24637.42</v>
      </c>
      <c r="J368">
        <v>119586.98</v>
      </c>
      <c r="K368">
        <v>412408.56</v>
      </c>
      <c r="L368">
        <v>22217.72</v>
      </c>
      <c r="M368">
        <v>91031.28</v>
      </c>
      <c r="N368">
        <v>103.47</v>
      </c>
      <c r="O368">
        <v>12231.51</v>
      </c>
      <c r="P368">
        <v>125583.98</v>
      </c>
      <c r="Q368">
        <v>160.5</v>
      </c>
      <c r="R368">
        <v>0</v>
      </c>
      <c r="S368">
        <v>3846.28</v>
      </c>
      <c r="T368">
        <v>88904.93</v>
      </c>
      <c r="U368">
        <v>0</v>
      </c>
      <c r="V368">
        <v>0</v>
      </c>
      <c r="W368">
        <v>9569.85</v>
      </c>
      <c r="X368">
        <v>102481.56</v>
      </c>
      <c r="Y368">
        <v>3033.63</v>
      </c>
      <c r="Z368">
        <v>7507.3</v>
      </c>
      <c r="AA368">
        <v>36396.550000000003</v>
      </c>
      <c r="AB368">
        <v>845.43</v>
      </c>
      <c r="AC368">
        <v>35853.269999999997</v>
      </c>
      <c r="AD368">
        <v>0</v>
      </c>
      <c r="AE368">
        <v>724110.28</v>
      </c>
      <c r="AF368">
        <v>20304</v>
      </c>
      <c r="AG368" t="s">
        <v>103</v>
      </c>
      <c r="AH368" t="s">
        <v>104</v>
      </c>
      <c r="AI368" t="s">
        <v>103</v>
      </c>
      <c r="AJ368" t="s">
        <v>104</v>
      </c>
      <c r="AK368">
        <v>6700</v>
      </c>
      <c r="AL368" t="s">
        <v>44</v>
      </c>
      <c r="AM368">
        <v>3</v>
      </c>
      <c r="AN368">
        <v>3</v>
      </c>
      <c r="AO368">
        <v>2025</v>
      </c>
      <c r="AP368">
        <v>1</v>
      </c>
    </row>
    <row r="369" spans="1:42" x14ac:dyDescent="0.25">
      <c r="A369">
        <v>21653</v>
      </c>
      <c r="B369">
        <v>47509</v>
      </c>
      <c r="C369">
        <v>11043</v>
      </c>
      <c r="D369">
        <v>94954</v>
      </c>
      <c r="E369">
        <v>39541</v>
      </c>
      <c r="F369">
        <v>214700</v>
      </c>
      <c r="G369">
        <v>18036</v>
      </c>
      <c r="H369">
        <v>24527</v>
      </c>
      <c r="I369">
        <v>38296</v>
      </c>
      <c r="J369">
        <v>80859</v>
      </c>
      <c r="K369">
        <v>295559</v>
      </c>
      <c r="L369">
        <v>112146</v>
      </c>
      <c r="M369">
        <v>25551</v>
      </c>
      <c r="N369">
        <v>0</v>
      </c>
      <c r="O369">
        <v>13577</v>
      </c>
      <c r="P369">
        <v>151274</v>
      </c>
      <c r="Q369">
        <v>1264</v>
      </c>
      <c r="R369">
        <v>19569</v>
      </c>
      <c r="S369">
        <v>3364</v>
      </c>
      <c r="T369">
        <v>20257</v>
      </c>
      <c r="V369">
        <v>58</v>
      </c>
      <c r="W369">
        <v>136495</v>
      </c>
      <c r="X369">
        <v>181007</v>
      </c>
      <c r="Y369">
        <v>7609</v>
      </c>
      <c r="Z369">
        <v>34785</v>
      </c>
      <c r="AA369">
        <v>100180</v>
      </c>
      <c r="AB369">
        <v>5</v>
      </c>
      <c r="AC369">
        <v>32505</v>
      </c>
      <c r="AD369">
        <v>2107645</v>
      </c>
      <c r="AE369">
        <v>2910569</v>
      </c>
      <c r="AF369">
        <v>20107</v>
      </c>
      <c r="AG369" t="s">
        <v>144</v>
      </c>
      <c r="AH369" t="s">
        <v>145</v>
      </c>
      <c r="AI369" t="s">
        <v>144</v>
      </c>
      <c r="AJ369" t="s">
        <v>145</v>
      </c>
      <c r="AK369">
        <v>16196</v>
      </c>
      <c r="AL369" t="s">
        <v>53</v>
      </c>
      <c r="AM369">
        <v>3</v>
      </c>
      <c r="AN369">
        <v>3</v>
      </c>
      <c r="AO369">
        <v>2025</v>
      </c>
      <c r="AP369">
        <v>3</v>
      </c>
    </row>
    <row r="370" spans="1:42" x14ac:dyDescent="0.25">
      <c r="A370">
        <v>21698</v>
      </c>
      <c r="B370">
        <v>57573</v>
      </c>
      <c r="C370">
        <v>14609</v>
      </c>
      <c r="D370">
        <v>99436</v>
      </c>
      <c r="E370">
        <v>42203</v>
      </c>
      <c r="F370">
        <v>235519</v>
      </c>
      <c r="G370">
        <v>21371</v>
      </c>
      <c r="H370">
        <v>28685</v>
      </c>
      <c r="I370">
        <v>38667</v>
      </c>
      <c r="J370">
        <v>88723</v>
      </c>
      <c r="K370">
        <v>324242</v>
      </c>
      <c r="L370">
        <v>122149</v>
      </c>
      <c r="M370">
        <v>28044</v>
      </c>
      <c r="N370">
        <v>0</v>
      </c>
      <c r="O370">
        <v>13655</v>
      </c>
      <c r="P370">
        <v>163848</v>
      </c>
      <c r="Q370">
        <v>2579</v>
      </c>
      <c r="R370">
        <v>21375</v>
      </c>
      <c r="S370">
        <v>3935</v>
      </c>
      <c r="T370">
        <v>20773</v>
      </c>
      <c r="V370">
        <v>40</v>
      </c>
      <c r="W370">
        <v>149193</v>
      </c>
      <c r="X370">
        <v>197895</v>
      </c>
      <c r="Y370">
        <v>8475</v>
      </c>
      <c r="Z370">
        <v>48225</v>
      </c>
      <c r="AA370">
        <v>99878</v>
      </c>
      <c r="AB370">
        <v>31</v>
      </c>
      <c r="AC370">
        <v>33305</v>
      </c>
      <c r="AD370">
        <v>2203759</v>
      </c>
      <c r="AE370">
        <v>3079658</v>
      </c>
      <c r="AF370">
        <v>20107</v>
      </c>
      <c r="AG370" t="s">
        <v>144</v>
      </c>
      <c r="AH370" t="s">
        <v>145</v>
      </c>
      <c r="AI370" t="s">
        <v>144</v>
      </c>
      <c r="AJ370" t="s">
        <v>145</v>
      </c>
      <c r="AK370">
        <v>16196</v>
      </c>
      <c r="AL370" t="s">
        <v>53</v>
      </c>
      <c r="AM370">
        <v>3</v>
      </c>
      <c r="AN370">
        <v>3</v>
      </c>
      <c r="AO370">
        <v>2025</v>
      </c>
      <c r="AP370">
        <v>4</v>
      </c>
    </row>
    <row r="371" spans="1:42" x14ac:dyDescent="0.25">
      <c r="A371">
        <v>22199.17</v>
      </c>
      <c r="B371">
        <v>966690.11</v>
      </c>
      <c r="C371">
        <v>99251.48</v>
      </c>
      <c r="D371">
        <v>477835.01</v>
      </c>
      <c r="E371">
        <v>497506.12</v>
      </c>
      <c r="F371">
        <v>2063481.88</v>
      </c>
      <c r="G371">
        <v>162610.31</v>
      </c>
      <c r="H371">
        <v>493864.2</v>
      </c>
      <c r="I371">
        <v>111600.93</v>
      </c>
      <c r="J371">
        <v>768075.44</v>
      </c>
      <c r="K371">
        <v>2831557.32</v>
      </c>
      <c r="L371">
        <v>1270049.3600000001</v>
      </c>
      <c r="M371">
        <v>126738.55</v>
      </c>
      <c r="N371">
        <v>183004.48</v>
      </c>
      <c r="O371">
        <v>60393.41</v>
      </c>
      <c r="P371">
        <v>1640185.8</v>
      </c>
      <c r="Q371">
        <v>36736.67</v>
      </c>
      <c r="R371">
        <v>20522</v>
      </c>
      <c r="S371">
        <v>15295.86</v>
      </c>
      <c r="T371">
        <v>353555.46</v>
      </c>
      <c r="U371">
        <v>93465.69</v>
      </c>
      <c r="V371">
        <v>56.9</v>
      </c>
      <c r="W371">
        <v>827132.6</v>
      </c>
      <c r="X371">
        <v>1346765.17</v>
      </c>
      <c r="Y371">
        <v>269000.76</v>
      </c>
      <c r="Z371">
        <v>518610.74</v>
      </c>
      <c r="AA371">
        <v>365881.28</v>
      </c>
      <c r="AB371">
        <v>17292.310000000001</v>
      </c>
      <c r="AC371">
        <v>53727.74</v>
      </c>
      <c r="AD371">
        <v>1203899.1000000001</v>
      </c>
      <c r="AE371">
        <v>8246920.21</v>
      </c>
      <c r="AF371">
        <v>19977</v>
      </c>
      <c r="AG371" t="s">
        <v>142</v>
      </c>
      <c r="AH371" t="s">
        <v>143</v>
      </c>
      <c r="AI371" t="s">
        <v>142</v>
      </c>
      <c r="AJ371" t="s">
        <v>143</v>
      </c>
      <c r="AK371" t="s">
        <v>151</v>
      </c>
      <c r="AL371" t="s">
        <v>44</v>
      </c>
      <c r="AM371">
        <v>3</v>
      </c>
      <c r="AN371">
        <v>3</v>
      </c>
      <c r="AO371">
        <v>2025</v>
      </c>
      <c r="AP371">
        <v>3</v>
      </c>
    </row>
    <row r="372" spans="1:42" x14ac:dyDescent="0.25">
      <c r="A372">
        <v>22268.02</v>
      </c>
      <c r="B372">
        <v>231307.66</v>
      </c>
      <c r="C372">
        <v>38879.99</v>
      </c>
      <c r="D372">
        <v>5095.08</v>
      </c>
      <c r="E372">
        <v>0</v>
      </c>
      <c r="F372">
        <v>297550.75</v>
      </c>
      <c r="G372">
        <v>55572.11</v>
      </c>
      <c r="H372">
        <v>54798.45</v>
      </c>
      <c r="I372">
        <v>22540.29</v>
      </c>
      <c r="J372">
        <v>132910.85</v>
      </c>
      <c r="K372">
        <v>430461.6</v>
      </c>
      <c r="L372">
        <v>25635.25</v>
      </c>
      <c r="M372">
        <v>98910.86</v>
      </c>
      <c r="N372">
        <v>184.68</v>
      </c>
      <c r="O372">
        <v>11052.89</v>
      </c>
      <c r="P372">
        <v>135783.66</v>
      </c>
      <c r="Q372">
        <v>307.22000000000003</v>
      </c>
      <c r="R372">
        <v>0</v>
      </c>
      <c r="S372">
        <v>4207.29</v>
      </c>
      <c r="T372">
        <v>94809.91</v>
      </c>
      <c r="U372">
        <v>0</v>
      </c>
      <c r="V372">
        <v>0</v>
      </c>
      <c r="W372">
        <v>10646.82</v>
      </c>
      <c r="X372">
        <v>109971.24</v>
      </c>
      <c r="Y372">
        <v>3496.82</v>
      </c>
      <c r="Z372">
        <v>8472.8799999999992</v>
      </c>
      <c r="AA372">
        <v>37819.599999999999</v>
      </c>
      <c r="AB372">
        <v>824.48</v>
      </c>
      <c r="AC372">
        <v>35687.089999999997</v>
      </c>
      <c r="AD372">
        <v>0</v>
      </c>
      <c r="AE372">
        <v>762517.37</v>
      </c>
      <c r="AF372">
        <v>20304</v>
      </c>
      <c r="AG372" t="s">
        <v>103</v>
      </c>
      <c r="AH372" t="s">
        <v>104</v>
      </c>
      <c r="AI372" t="s">
        <v>103</v>
      </c>
      <c r="AJ372" t="s">
        <v>104</v>
      </c>
      <c r="AK372">
        <v>6700</v>
      </c>
      <c r="AL372" t="s">
        <v>44</v>
      </c>
      <c r="AM372">
        <v>3</v>
      </c>
      <c r="AN372">
        <v>3</v>
      </c>
      <c r="AO372">
        <v>2025</v>
      </c>
      <c r="AP372">
        <v>2</v>
      </c>
    </row>
    <row r="373" spans="1:42" x14ac:dyDescent="0.25">
      <c r="A373">
        <v>22972.15</v>
      </c>
      <c r="B373">
        <v>232290.77</v>
      </c>
      <c r="C373">
        <v>41685.19</v>
      </c>
      <c r="D373">
        <v>6330.35</v>
      </c>
      <c r="E373">
        <v>0</v>
      </c>
      <c r="F373">
        <v>303278.46000000002</v>
      </c>
      <c r="G373">
        <v>56127.38</v>
      </c>
      <c r="H373">
        <v>52501.57</v>
      </c>
      <c r="I373">
        <v>21740.26</v>
      </c>
      <c r="J373">
        <v>130369.21</v>
      </c>
      <c r="K373">
        <v>433647.67</v>
      </c>
      <c r="L373">
        <v>31872.37</v>
      </c>
      <c r="M373">
        <v>107943.52</v>
      </c>
      <c r="N373">
        <v>194.88</v>
      </c>
      <c r="O373">
        <v>12149.58</v>
      </c>
      <c r="P373">
        <v>152160.35999999999</v>
      </c>
      <c r="Q373">
        <v>245.52</v>
      </c>
      <c r="R373">
        <v>0</v>
      </c>
      <c r="S373">
        <v>4323.7</v>
      </c>
      <c r="T373">
        <v>101280.95</v>
      </c>
      <c r="U373">
        <v>0</v>
      </c>
      <c r="V373">
        <v>0</v>
      </c>
      <c r="W373">
        <v>13016.92</v>
      </c>
      <c r="X373">
        <v>118867.09</v>
      </c>
      <c r="Y373">
        <v>4378.03</v>
      </c>
      <c r="Z373">
        <v>9663.57</v>
      </c>
      <c r="AA373">
        <v>39593.269999999997</v>
      </c>
      <c r="AB373">
        <v>821.56</v>
      </c>
      <c r="AC373">
        <v>35748.07</v>
      </c>
      <c r="AD373">
        <v>0</v>
      </c>
      <c r="AE373">
        <v>794879.62</v>
      </c>
      <c r="AF373">
        <v>20304</v>
      </c>
      <c r="AG373" t="s">
        <v>103</v>
      </c>
      <c r="AH373" t="s">
        <v>104</v>
      </c>
      <c r="AI373" t="s">
        <v>103</v>
      </c>
      <c r="AJ373" t="s">
        <v>104</v>
      </c>
      <c r="AK373">
        <v>6700</v>
      </c>
      <c r="AL373" t="s">
        <v>44</v>
      </c>
      <c r="AM373">
        <v>3</v>
      </c>
      <c r="AN373">
        <v>3</v>
      </c>
      <c r="AO373">
        <v>2025</v>
      </c>
      <c r="AP373">
        <v>3</v>
      </c>
    </row>
    <row r="374" spans="1:42" x14ac:dyDescent="0.25">
      <c r="A374">
        <v>23315.360000000001</v>
      </c>
      <c r="B374">
        <v>239998.1</v>
      </c>
      <c r="C374">
        <v>44124.21</v>
      </c>
      <c r="D374">
        <v>6289.32</v>
      </c>
      <c r="E374">
        <v>0</v>
      </c>
      <c r="F374">
        <v>313726.98</v>
      </c>
      <c r="G374">
        <v>54505.16</v>
      </c>
      <c r="H374">
        <v>50366.01</v>
      </c>
      <c r="I374">
        <v>22235.23</v>
      </c>
      <c r="J374">
        <v>127106.4</v>
      </c>
      <c r="K374">
        <v>440833.38</v>
      </c>
      <c r="L374">
        <v>31302.720000000001</v>
      </c>
      <c r="M374">
        <v>104909.83</v>
      </c>
      <c r="N374">
        <v>159.01</v>
      </c>
      <c r="O374">
        <v>12135.97</v>
      </c>
      <c r="P374">
        <v>148507.53</v>
      </c>
      <c r="Q374">
        <v>198.92</v>
      </c>
      <c r="R374">
        <v>0</v>
      </c>
      <c r="S374">
        <v>4304.3100000000004</v>
      </c>
      <c r="T374">
        <v>93063.24</v>
      </c>
      <c r="U374">
        <v>0</v>
      </c>
      <c r="V374">
        <v>0</v>
      </c>
      <c r="W374">
        <v>12388.58</v>
      </c>
      <c r="X374">
        <v>109955.05</v>
      </c>
      <c r="Y374">
        <v>4017.59</v>
      </c>
      <c r="Z374">
        <v>8942.3700000000008</v>
      </c>
      <c r="AA374">
        <v>38792.06</v>
      </c>
      <c r="AB374">
        <v>818.31</v>
      </c>
      <c r="AC374">
        <v>38710.17</v>
      </c>
      <c r="AD374">
        <v>0</v>
      </c>
      <c r="AE374">
        <v>790576.46</v>
      </c>
      <c r="AF374">
        <v>20304</v>
      </c>
      <c r="AG374" t="s">
        <v>103</v>
      </c>
      <c r="AH374" t="s">
        <v>104</v>
      </c>
      <c r="AI374" t="s">
        <v>103</v>
      </c>
      <c r="AJ374" t="s">
        <v>104</v>
      </c>
      <c r="AK374">
        <v>6700</v>
      </c>
      <c r="AL374" t="s">
        <v>44</v>
      </c>
      <c r="AM374">
        <v>3</v>
      </c>
      <c r="AN374">
        <v>3</v>
      </c>
      <c r="AO374">
        <v>2025</v>
      </c>
      <c r="AP374">
        <v>4</v>
      </c>
    </row>
    <row r="375" spans="1:42" x14ac:dyDescent="0.25">
      <c r="A375">
        <v>24751.360000000001</v>
      </c>
      <c r="B375">
        <v>951123.52</v>
      </c>
      <c r="C375">
        <v>98802.09</v>
      </c>
      <c r="D375">
        <v>461976.72</v>
      </c>
      <c r="E375">
        <v>457549.18</v>
      </c>
      <c r="F375">
        <v>1994202.86</v>
      </c>
      <c r="G375">
        <v>164901.37</v>
      </c>
      <c r="H375">
        <v>479818.4</v>
      </c>
      <c r="I375">
        <v>123076.23</v>
      </c>
      <c r="J375">
        <v>767796</v>
      </c>
      <c r="K375">
        <v>2761998.86</v>
      </c>
      <c r="L375">
        <v>1195887.95</v>
      </c>
      <c r="M375">
        <v>149648.26</v>
      </c>
      <c r="N375">
        <v>174129.56</v>
      </c>
      <c r="O375">
        <v>63188.41</v>
      </c>
      <c r="P375">
        <v>1582854.17</v>
      </c>
      <c r="Q375">
        <v>30828.43</v>
      </c>
      <c r="R375">
        <v>20904.04</v>
      </c>
      <c r="S375">
        <v>15049.34</v>
      </c>
      <c r="T375">
        <v>409054.23</v>
      </c>
      <c r="U375">
        <v>96169.17</v>
      </c>
      <c r="V375">
        <v>147.91999999999999</v>
      </c>
      <c r="W375">
        <v>792819.59</v>
      </c>
      <c r="X375">
        <v>1364972.72</v>
      </c>
      <c r="Y375">
        <v>247939.43</v>
      </c>
      <c r="Z375">
        <v>511627.81</v>
      </c>
      <c r="AA375">
        <v>373791.89</v>
      </c>
      <c r="AB375">
        <v>12816.78</v>
      </c>
      <c r="AC375">
        <v>294617.07</v>
      </c>
      <c r="AD375">
        <v>1163218.24</v>
      </c>
      <c r="AE375">
        <v>8313836.9699999997</v>
      </c>
      <c r="AF375">
        <v>19977</v>
      </c>
      <c r="AG375" t="s">
        <v>142</v>
      </c>
      <c r="AH375" t="s">
        <v>143</v>
      </c>
      <c r="AI375" t="s">
        <v>142</v>
      </c>
      <c r="AJ375" t="s">
        <v>143</v>
      </c>
      <c r="AK375" t="s">
        <v>151</v>
      </c>
      <c r="AL375" t="s">
        <v>44</v>
      </c>
      <c r="AM375">
        <v>3</v>
      </c>
      <c r="AN375">
        <v>3</v>
      </c>
      <c r="AO375">
        <v>2025</v>
      </c>
      <c r="AP375">
        <v>2</v>
      </c>
    </row>
    <row r="376" spans="1:42" x14ac:dyDescent="0.25">
      <c r="A376">
        <v>24952</v>
      </c>
      <c r="B376">
        <v>1238824</v>
      </c>
      <c r="C376">
        <v>176011</v>
      </c>
      <c r="D376">
        <v>406250</v>
      </c>
      <c r="E376">
        <v>676553</v>
      </c>
      <c r="F376">
        <v>2522590</v>
      </c>
      <c r="G376">
        <v>202942</v>
      </c>
      <c r="H376">
        <v>626357</v>
      </c>
      <c r="I376">
        <v>144778</v>
      </c>
      <c r="J376">
        <v>974077</v>
      </c>
      <c r="K376">
        <v>3496667</v>
      </c>
      <c r="L376">
        <v>1317719</v>
      </c>
      <c r="M376">
        <v>137170</v>
      </c>
      <c r="N376">
        <v>279966</v>
      </c>
      <c r="O376">
        <v>65205</v>
      </c>
      <c r="P376">
        <v>1800060</v>
      </c>
      <c r="Q376">
        <v>71505</v>
      </c>
      <c r="R376">
        <v>76602</v>
      </c>
      <c r="S376">
        <v>20726</v>
      </c>
      <c r="T376">
        <v>317078</v>
      </c>
      <c r="U376">
        <v>97501</v>
      </c>
      <c r="V376">
        <v>3057</v>
      </c>
      <c r="W376">
        <v>1035782</v>
      </c>
      <c r="X376">
        <v>1622251</v>
      </c>
      <c r="Y376">
        <v>193725</v>
      </c>
      <c r="Z376">
        <v>483354</v>
      </c>
      <c r="AA376">
        <v>366521</v>
      </c>
      <c r="AB376">
        <v>66841</v>
      </c>
      <c r="AC376">
        <v>97891</v>
      </c>
      <c r="AD376">
        <v>2211206</v>
      </c>
      <c r="AE376">
        <v>10338516</v>
      </c>
      <c r="AF376">
        <v>19790</v>
      </c>
      <c r="AG376" t="s">
        <v>134</v>
      </c>
      <c r="AH376" t="s">
        <v>135</v>
      </c>
      <c r="AI376" t="s">
        <v>134</v>
      </c>
      <c r="AJ376" t="s">
        <v>135</v>
      </c>
      <c r="AK376">
        <v>1260</v>
      </c>
      <c r="AL376" t="s">
        <v>44</v>
      </c>
      <c r="AM376">
        <v>3</v>
      </c>
      <c r="AN376">
        <v>3</v>
      </c>
      <c r="AO376">
        <v>2025</v>
      </c>
      <c r="AP376">
        <v>2</v>
      </c>
    </row>
    <row r="377" spans="1:42" x14ac:dyDescent="0.25">
      <c r="A377">
        <v>25167</v>
      </c>
      <c r="B377">
        <v>1259066</v>
      </c>
      <c r="C377">
        <v>182232</v>
      </c>
      <c r="D377">
        <v>423905</v>
      </c>
      <c r="E377">
        <v>598807</v>
      </c>
      <c r="F377">
        <v>2489177</v>
      </c>
      <c r="G377">
        <v>204970</v>
      </c>
      <c r="H377">
        <v>623356</v>
      </c>
      <c r="I377">
        <v>141886</v>
      </c>
      <c r="J377">
        <v>970212</v>
      </c>
      <c r="K377">
        <v>3459389</v>
      </c>
      <c r="L377">
        <v>1345132</v>
      </c>
      <c r="M377">
        <v>186595</v>
      </c>
      <c r="N377">
        <v>288919</v>
      </c>
      <c r="O377">
        <v>61667</v>
      </c>
      <c r="P377">
        <v>1882313</v>
      </c>
      <c r="Q377">
        <v>69350</v>
      </c>
      <c r="R377">
        <v>79502</v>
      </c>
      <c r="S377">
        <v>17597</v>
      </c>
      <c r="T377">
        <v>317163</v>
      </c>
      <c r="U377">
        <v>85157</v>
      </c>
      <c r="V377">
        <v>2267</v>
      </c>
      <c r="W377">
        <v>1032426</v>
      </c>
      <c r="X377">
        <v>1603462</v>
      </c>
      <c r="Y377">
        <v>206236</v>
      </c>
      <c r="Z377">
        <v>497883</v>
      </c>
      <c r="AA377">
        <v>369475</v>
      </c>
      <c r="AB377">
        <v>69863</v>
      </c>
      <c r="AC377">
        <v>94970</v>
      </c>
      <c r="AD377">
        <v>2532119</v>
      </c>
      <c r="AE377">
        <v>10715710</v>
      </c>
      <c r="AF377">
        <v>19790</v>
      </c>
      <c r="AG377" t="s">
        <v>134</v>
      </c>
      <c r="AH377" t="s">
        <v>135</v>
      </c>
      <c r="AI377" t="s">
        <v>134</v>
      </c>
      <c r="AJ377" t="s">
        <v>135</v>
      </c>
      <c r="AK377">
        <v>1260</v>
      </c>
      <c r="AL377" t="s">
        <v>44</v>
      </c>
      <c r="AM377">
        <v>3</v>
      </c>
      <c r="AN377">
        <v>3</v>
      </c>
      <c r="AO377">
        <v>2025</v>
      </c>
      <c r="AP377">
        <v>3</v>
      </c>
    </row>
    <row r="378" spans="1:42" x14ac:dyDescent="0.25">
      <c r="A378">
        <v>26160</v>
      </c>
      <c r="B378">
        <v>1162127</v>
      </c>
      <c r="C378">
        <v>167761</v>
      </c>
      <c r="D378">
        <v>409607</v>
      </c>
      <c r="E378">
        <v>447270</v>
      </c>
      <c r="F378">
        <v>2212925</v>
      </c>
      <c r="G378">
        <v>191997</v>
      </c>
      <c r="H378">
        <v>586469</v>
      </c>
      <c r="I378">
        <v>140348</v>
      </c>
      <c r="J378">
        <v>918814</v>
      </c>
      <c r="K378">
        <v>3131739</v>
      </c>
      <c r="L378">
        <v>1318172</v>
      </c>
      <c r="M378">
        <v>183150</v>
      </c>
      <c r="N378">
        <v>269827</v>
      </c>
      <c r="O378">
        <v>91558</v>
      </c>
      <c r="P378">
        <v>1862707</v>
      </c>
      <c r="Q378">
        <v>60842</v>
      </c>
      <c r="R378">
        <v>59985</v>
      </c>
      <c r="S378">
        <v>20599</v>
      </c>
      <c r="T378">
        <v>316166</v>
      </c>
      <c r="U378">
        <v>86084</v>
      </c>
      <c r="V378">
        <v>3129</v>
      </c>
      <c r="W378">
        <v>1004495</v>
      </c>
      <c r="X378">
        <v>1551300</v>
      </c>
      <c r="Y378">
        <v>179983</v>
      </c>
      <c r="Z378">
        <v>509876</v>
      </c>
      <c r="AA378">
        <v>365508</v>
      </c>
      <c r="AB378">
        <v>69147</v>
      </c>
      <c r="AC378">
        <v>93543</v>
      </c>
      <c r="AD378">
        <v>2025314</v>
      </c>
      <c r="AE378">
        <v>9789117</v>
      </c>
      <c r="AF378">
        <v>19790</v>
      </c>
      <c r="AG378" t="s">
        <v>134</v>
      </c>
      <c r="AH378" t="s">
        <v>135</v>
      </c>
      <c r="AI378" t="s">
        <v>134</v>
      </c>
      <c r="AJ378" t="s">
        <v>135</v>
      </c>
      <c r="AK378">
        <v>1260</v>
      </c>
      <c r="AL378" t="s">
        <v>44</v>
      </c>
      <c r="AM378">
        <v>3</v>
      </c>
      <c r="AN378">
        <v>3</v>
      </c>
      <c r="AO378">
        <v>2025</v>
      </c>
      <c r="AP378">
        <v>1</v>
      </c>
    </row>
    <row r="379" spans="1:42" x14ac:dyDescent="0.25">
      <c r="A379">
        <v>26199</v>
      </c>
      <c r="B379">
        <v>1335303</v>
      </c>
      <c r="C379">
        <v>189947</v>
      </c>
      <c r="D379">
        <v>443838</v>
      </c>
      <c r="E379">
        <v>602978</v>
      </c>
      <c r="F379">
        <v>2598265</v>
      </c>
      <c r="G379">
        <v>204292</v>
      </c>
      <c r="H379">
        <v>738478</v>
      </c>
      <c r="I379">
        <v>149066</v>
      </c>
      <c r="J379">
        <v>1091836</v>
      </c>
      <c r="K379">
        <v>3690101</v>
      </c>
      <c r="L379">
        <v>1308960</v>
      </c>
      <c r="M379">
        <v>164348</v>
      </c>
      <c r="N379">
        <v>285425</v>
      </c>
      <c r="O379">
        <v>83419</v>
      </c>
      <c r="P379">
        <v>1842152</v>
      </c>
      <c r="Q379">
        <v>73004</v>
      </c>
      <c r="R379">
        <v>68463</v>
      </c>
      <c r="S379">
        <v>17993</v>
      </c>
      <c r="T379">
        <v>255617</v>
      </c>
      <c r="U379">
        <v>86960</v>
      </c>
      <c r="V379">
        <v>919</v>
      </c>
      <c r="W379">
        <v>1093638</v>
      </c>
      <c r="X379">
        <v>1596594</v>
      </c>
      <c r="Y379">
        <v>210670</v>
      </c>
      <c r="Z379">
        <v>525782</v>
      </c>
      <c r="AA379">
        <v>381864</v>
      </c>
      <c r="AB379">
        <v>74534</v>
      </c>
      <c r="AC379">
        <v>90127</v>
      </c>
      <c r="AD379">
        <v>2397809</v>
      </c>
      <c r="AE379">
        <v>10809633</v>
      </c>
      <c r="AF379">
        <v>19790</v>
      </c>
      <c r="AG379" t="s">
        <v>134</v>
      </c>
      <c r="AH379" t="s">
        <v>135</v>
      </c>
      <c r="AI379" t="s">
        <v>134</v>
      </c>
      <c r="AJ379" t="s">
        <v>135</v>
      </c>
      <c r="AK379">
        <v>1260</v>
      </c>
      <c r="AL379" t="s">
        <v>44</v>
      </c>
      <c r="AM379">
        <v>3</v>
      </c>
      <c r="AN379">
        <v>3</v>
      </c>
      <c r="AO379">
        <v>2025</v>
      </c>
      <c r="AP379">
        <v>4</v>
      </c>
    </row>
    <row r="380" spans="1:42" x14ac:dyDescent="0.25">
      <c r="A380">
        <v>28912.12</v>
      </c>
      <c r="B380">
        <v>108960.07</v>
      </c>
      <c r="C380">
        <v>14423.66</v>
      </c>
      <c r="D380">
        <v>99907.13</v>
      </c>
      <c r="E380">
        <v>17651.66</v>
      </c>
      <c r="F380">
        <v>269854.64</v>
      </c>
      <c r="G380">
        <v>28820.89</v>
      </c>
      <c r="H380">
        <v>30462.18</v>
      </c>
      <c r="I380">
        <v>18744.72</v>
      </c>
      <c r="J380">
        <v>78027.789999999994</v>
      </c>
      <c r="K380">
        <v>347882.44</v>
      </c>
      <c r="L380">
        <v>0</v>
      </c>
      <c r="M380">
        <v>17539.009999999998</v>
      </c>
      <c r="N380">
        <v>0</v>
      </c>
      <c r="O380">
        <v>2778.47</v>
      </c>
      <c r="P380">
        <v>20317.48</v>
      </c>
      <c r="Q380">
        <v>472.31</v>
      </c>
      <c r="R380">
        <v>280.58</v>
      </c>
      <c r="S380">
        <v>1365.67</v>
      </c>
      <c r="T380">
        <v>66364.05</v>
      </c>
      <c r="U380">
        <v>0</v>
      </c>
      <c r="V380">
        <v>0</v>
      </c>
      <c r="W380">
        <v>12087.77</v>
      </c>
      <c r="X380">
        <v>80570.38</v>
      </c>
      <c r="Y380">
        <v>0</v>
      </c>
      <c r="Z380">
        <v>52905.35</v>
      </c>
      <c r="AA380">
        <v>2218.4</v>
      </c>
      <c r="AB380">
        <v>0</v>
      </c>
      <c r="AC380">
        <v>1016.71</v>
      </c>
      <c r="AD380">
        <v>2.15</v>
      </c>
      <c r="AE380">
        <v>504912.9</v>
      </c>
      <c r="AF380">
        <v>20398</v>
      </c>
      <c r="AG380" t="s">
        <v>130</v>
      </c>
      <c r="AH380" t="s">
        <v>131</v>
      </c>
      <c r="AI380" t="s">
        <v>130</v>
      </c>
      <c r="AJ380" t="s">
        <v>131</v>
      </c>
      <c r="AK380">
        <v>6820</v>
      </c>
      <c r="AL380" t="s">
        <v>44</v>
      </c>
      <c r="AM380">
        <v>3</v>
      </c>
      <c r="AN380">
        <v>3</v>
      </c>
      <c r="AO380">
        <v>2025</v>
      </c>
      <c r="AP380">
        <v>4</v>
      </c>
    </row>
    <row r="381" spans="1:42" x14ac:dyDescent="0.25">
      <c r="A381">
        <v>32202.080000000002</v>
      </c>
      <c r="B381">
        <v>89576.28</v>
      </c>
      <c r="C381">
        <v>14536.38</v>
      </c>
      <c r="D381">
        <v>93987.56</v>
      </c>
      <c r="E381">
        <v>16072.99</v>
      </c>
      <c r="F381">
        <v>246375.29</v>
      </c>
      <c r="G381">
        <v>27038.81</v>
      </c>
      <c r="H381">
        <v>26521.91</v>
      </c>
      <c r="I381">
        <v>21290.59</v>
      </c>
      <c r="J381">
        <v>74851.31</v>
      </c>
      <c r="K381">
        <v>321226.59999999998</v>
      </c>
      <c r="L381">
        <v>0</v>
      </c>
      <c r="M381">
        <v>16733.52</v>
      </c>
      <c r="N381">
        <v>0</v>
      </c>
      <c r="O381">
        <v>4025.35</v>
      </c>
      <c r="P381">
        <v>20758.87</v>
      </c>
      <c r="Q381">
        <v>539.36</v>
      </c>
      <c r="R381">
        <v>288.16000000000003</v>
      </c>
      <c r="S381">
        <v>1169.78</v>
      </c>
      <c r="T381">
        <v>58564.75</v>
      </c>
      <c r="U381">
        <v>0</v>
      </c>
      <c r="V381">
        <v>0</v>
      </c>
      <c r="W381">
        <v>11034.22</v>
      </c>
      <c r="X381">
        <v>71596.259999999995</v>
      </c>
      <c r="Y381">
        <v>0</v>
      </c>
      <c r="Z381">
        <v>52822.67</v>
      </c>
      <c r="AA381">
        <v>3235.09</v>
      </c>
      <c r="AB381">
        <v>0</v>
      </c>
      <c r="AC381">
        <v>1336.83</v>
      </c>
      <c r="AD381">
        <v>5.54</v>
      </c>
      <c r="AE381">
        <v>470981.86</v>
      </c>
      <c r="AF381">
        <v>20398</v>
      </c>
      <c r="AG381" t="s">
        <v>130</v>
      </c>
      <c r="AH381" t="s">
        <v>131</v>
      </c>
      <c r="AI381" t="s">
        <v>130</v>
      </c>
      <c r="AJ381" t="s">
        <v>131</v>
      </c>
      <c r="AK381">
        <v>6820</v>
      </c>
      <c r="AL381" t="s">
        <v>44</v>
      </c>
      <c r="AM381">
        <v>3</v>
      </c>
      <c r="AN381">
        <v>3</v>
      </c>
      <c r="AO381">
        <v>2025</v>
      </c>
      <c r="AP381">
        <v>1</v>
      </c>
    </row>
    <row r="382" spans="1:42" x14ac:dyDescent="0.25">
      <c r="A382">
        <v>32608.65</v>
      </c>
      <c r="B382">
        <v>95678.45</v>
      </c>
      <c r="C382">
        <v>16362.96</v>
      </c>
      <c r="D382">
        <v>89589.19</v>
      </c>
      <c r="E382">
        <v>16935.669999999998</v>
      </c>
      <c r="F382">
        <v>251174.92</v>
      </c>
      <c r="G382">
        <v>27455.89</v>
      </c>
      <c r="H382">
        <v>28979.26</v>
      </c>
      <c r="I382">
        <v>19166.95</v>
      </c>
      <c r="J382">
        <v>75602.09</v>
      </c>
      <c r="K382">
        <v>326777.01</v>
      </c>
      <c r="L382">
        <v>0</v>
      </c>
      <c r="M382">
        <v>19170.66</v>
      </c>
      <c r="N382">
        <v>0</v>
      </c>
      <c r="O382">
        <v>3211.44</v>
      </c>
      <c r="P382">
        <v>22382.1</v>
      </c>
      <c r="Q382">
        <v>444.84</v>
      </c>
      <c r="R382">
        <v>271.45999999999998</v>
      </c>
      <c r="S382">
        <v>1361.62</v>
      </c>
      <c r="T382">
        <v>63055.53</v>
      </c>
      <c r="U382">
        <v>0</v>
      </c>
      <c r="V382">
        <v>0</v>
      </c>
      <c r="W382">
        <v>12340.92</v>
      </c>
      <c r="X382">
        <v>77474.36</v>
      </c>
      <c r="Y382">
        <v>0</v>
      </c>
      <c r="Z382">
        <v>50840.93</v>
      </c>
      <c r="AA382">
        <v>3138.47</v>
      </c>
      <c r="AB382">
        <v>0</v>
      </c>
      <c r="AC382">
        <v>1285.79</v>
      </c>
      <c r="AD382">
        <v>6.74</v>
      </c>
      <c r="AE382">
        <v>481905.4</v>
      </c>
      <c r="AF382">
        <v>20398</v>
      </c>
      <c r="AG382" t="s">
        <v>130</v>
      </c>
      <c r="AH382" t="s">
        <v>131</v>
      </c>
      <c r="AI382" t="s">
        <v>130</v>
      </c>
      <c r="AJ382" t="s">
        <v>131</v>
      </c>
      <c r="AK382">
        <v>6820</v>
      </c>
      <c r="AL382" t="s">
        <v>44</v>
      </c>
      <c r="AM382">
        <v>3</v>
      </c>
      <c r="AN382">
        <v>3</v>
      </c>
      <c r="AO382">
        <v>2025</v>
      </c>
      <c r="AP382">
        <v>2</v>
      </c>
    </row>
    <row r="383" spans="1:42" x14ac:dyDescent="0.25">
      <c r="A383">
        <v>33096.97</v>
      </c>
      <c r="B383">
        <v>99604.05</v>
      </c>
      <c r="C383">
        <v>15822.77</v>
      </c>
      <c r="D383">
        <v>95347.79</v>
      </c>
      <c r="E383">
        <v>18180.2</v>
      </c>
      <c r="F383">
        <v>262051.78</v>
      </c>
      <c r="G383">
        <v>28319.9</v>
      </c>
      <c r="H383">
        <v>30541.58</v>
      </c>
      <c r="I383">
        <v>18678.84</v>
      </c>
      <c r="J383">
        <v>77540.320000000007</v>
      </c>
      <c r="K383">
        <v>339592.1</v>
      </c>
      <c r="L383">
        <v>0</v>
      </c>
      <c r="M383">
        <v>23779.360000000001</v>
      </c>
      <c r="N383">
        <v>0</v>
      </c>
      <c r="O383">
        <v>3200.15</v>
      </c>
      <c r="P383">
        <v>26979.51</v>
      </c>
      <c r="Q383">
        <v>466.38</v>
      </c>
      <c r="R383">
        <v>281.02</v>
      </c>
      <c r="S383">
        <v>815.9</v>
      </c>
      <c r="T383">
        <v>70943.259999999995</v>
      </c>
      <c r="U383">
        <v>0</v>
      </c>
      <c r="V383">
        <v>0</v>
      </c>
      <c r="W383">
        <v>10695.33</v>
      </c>
      <c r="X383">
        <v>83201.89</v>
      </c>
      <c r="Y383">
        <v>0</v>
      </c>
      <c r="Z383">
        <v>52395.040000000001</v>
      </c>
      <c r="AA383">
        <v>3352.29</v>
      </c>
      <c r="AB383">
        <v>0</v>
      </c>
      <c r="AC383">
        <v>1634.39</v>
      </c>
      <c r="AD383">
        <v>7.13</v>
      </c>
      <c r="AE383">
        <v>507162.34</v>
      </c>
      <c r="AF383">
        <v>20398</v>
      </c>
      <c r="AG383" t="s">
        <v>130</v>
      </c>
      <c r="AH383" t="s">
        <v>131</v>
      </c>
      <c r="AI383" t="s">
        <v>130</v>
      </c>
      <c r="AJ383" t="s">
        <v>131</v>
      </c>
      <c r="AK383">
        <v>6820</v>
      </c>
      <c r="AL383" t="s">
        <v>44</v>
      </c>
      <c r="AM383">
        <v>3</v>
      </c>
      <c r="AN383">
        <v>3</v>
      </c>
      <c r="AO383">
        <v>2025</v>
      </c>
      <c r="AP383">
        <v>3</v>
      </c>
    </row>
    <row r="384" spans="1:42" x14ac:dyDescent="0.25">
      <c r="A384">
        <v>39161</v>
      </c>
      <c r="B384">
        <v>216418</v>
      </c>
      <c r="C384">
        <v>110543</v>
      </c>
      <c r="D384">
        <v>179802</v>
      </c>
      <c r="E384">
        <v>92504</v>
      </c>
      <c r="F384">
        <v>638428</v>
      </c>
      <c r="G384">
        <v>39939</v>
      </c>
      <c r="H384">
        <v>73241</v>
      </c>
      <c r="I384">
        <v>52823</v>
      </c>
      <c r="J384">
        <v>166003</v>
      </c>
      <c r="K384">
        <v>804431</v>
      </c>
      <c r="L384">
        <v>271245</v>
      </c>
      <c r="M384">
        <v>132962</v>
      </c>
      <c r="N384">
        <v>1</v>
      </c>
      <c r="O384">
        <v>27358</v>
      </c>
      <c r="P384">
        <v>431566</v>
      </c>
      <c r="Q384">
        <v>13423</v>
      </c>
      <c r="R384">
        <v>11790</v>
      </c>
      <c r="S384">
        <v>11236</v>
      </c>
      <c r="T384">
        <v>17859</v>
      </c>
      <c r="V384">
        <v>13</v>
      </c>
      <c r="W384">
        <v>131231</v>
      </c>
      <c r="X384">
        <v>185552</v>
      </c>
      <c r="Y384">
        <v>41220</v>
      </c>
      <c r="Z384">
        <v>94670</v>
      </c>
      <c r="AA384">
        <v>273806</v>
      </c>
      <c r="AB384">
        <v>0</v>
      </c>
      <c r="AC384">
        <v>58033</v>
      </c>
      <c r="AD384">
        <v>10455171</v>
      </c>
      <c r="AE384">
        <v>12344449</v>
      </c>
      <c r="AF384">
        <v>20107</v>
      </c>
      <c r="AG384" t="s">
        <v>144</v>
      </c>
      <c r="AH384" t="s">
        <v>145</v>
      </c>
      <c r="AI384" t="s">
        <v>144</v>
      </c>
      <c r="AJ384" t="s">
        <v>145</v>
      </c>
      <c r="AK384">
        <v>6200</v>
      </c>
      <c r="AL384" t="s">
        <v>44</v>
      </c>
      <c r="AM384">
        <v>3</v>
      </c>
      <c r="AN384">
        <v>3</v>
      </c>
      <c r="AO384">
        <v>2025</v>
      </c>
      <c r="AP384">
        <v>1</v>
      </c>
    </row>
    <row r="385" spans="1:42" x14ac:dyDescent="0.25">
      <c r="A385">
        <v>39437</v>
      </c>
      <c r="B385">
        <v>208970</v>
      </c>
      <c r="C385">
        <v>115699</v>
      </c>
      <c r="D385">
        <v>182060</v>
      </c>
      <c r="E385">
        <v>97027</v>
      </c>
      <c r="F385">
        <v>643193</v>
      </c>
      <c r="G385">
        <v>37080</v>
      </c>
      <c r="H385">
        <v>65790</v>
      </c>
      <c r="I385">
        <v>49140</v>
      </c>
      <c r="J385">
        <v>152010</v>
      </c>
      <c r="K385">
        <v>795203</v>
      </c>
      <c r="L385">
        <v>253465</v>
      </c>
      <c r="M385">
        <v>135940</v>
      </c>
      <c r="N385">
        <v>2</v>
      </c>
      <c r="O385">
        <v>23600</v>
      </c>
      <c r="P385">
        <v>413007</v>
      </c>
      <c r="Q385">
        <v>13029</v>
      </c>
      <c r="R385">
        <v>13094</v>
      </c>
      <c r="S385">
        <v>10345</v>
      </c>
      <c r="T385">
        <v>17172</v>
      </c>
      <c r="V385">
        <v>5</v>
      </c>
      <c r="W385">
        <v>126534</v>
      </c>
      <c r="X385">
        <v>180179</v>
      </c>
      <c r="Y385">
        <v>42511</v>
      </c>
      <c r="Z385">
        <v>96940</v>
      </c>
      <c r="AA385">
        <v>287683</v>
      </c>
      <c r="AB385">
        <v>25</v>
      </c>
      <c r="AC385">
        <v>102228</v>
      </c>
      <c r="AD385">
        <v>10957351</v>
      </c>
      <c r="AE385">
        <v>12875127</v>
      </c>
      <c r="AF385">
        <v>20107</v>
      </c>
      <c r="AG385" t="s">
        <v>144</v>
      </c>
      <c r="AH385" t="s">
        <v>145</v>
      </c>
      <c r="AI385" t="s">
        <v>144</v>
      </c>
      <c r="AJ385" t="s">
        <v>145</v>
      </c>
      <c r="AK385">
        <v>6200</v>
      </c>
      <c r="AL385" t="s">
        <v>44</v>
      </c>
      <c r="AM385">
        <v>3</v>
      </c>
      <c r="AN385">
        <v>3</v>
      </c>
      <c r="AO385">
        <v>2025</v>
      </c>
      <c r="AP385">
        <v>2</v>
      </c>
    </row>
    <row r="386" spans="1:42" x14ac:dyDescent="0.25">
      <c r="A386">
        <v>40024</v>
      </c>
      <c r="B386">
        <v>200136</v>
      </c>
      <c r="C386">
        <v>118390</v>
      </c>
      <c r="D386">
        <v>186366</v>
      </c>
      <c r="E386">
        <v>94125</v>
      </c>
      <c r="F386">
        <v>639041</v>
      </c>
      <c r="G386">
        <v>37851</v>
      </c>
      <c r="H386">
        <v>65222</v>
      </c>
      <c r="I386">
        <v>45515</v>
      </c>
      <c r="J386">
        <v>148588</v>
      </c>
      <c r="K386">
        <v>787629</v>
      </c>
      <c r="L386">
        <v>264945</v>
      </c>
      <c r="M386">
        <v>139756</v>
      </c>
      <c r="N386">
        <v>1</v>
      </c>
      <c r="O386">
        <v>23663</v>
      </c>
      <c r="P386">
        <v>428365</v>
      </c>
      <c r="Q386">
        <v>15196</v>
      </c>
      <c r="R386">
        <v>11801</v>
      </c>
      <c r="S386">
        <v>11175</v>
      </c>
      <c r="T386">
        <v>21122</v>
      </c>
      <c r="V386">
        <v>5</v>
      </c>
      <c r="W386">
        <v>141408</v>
      </c>
      <c r="X386">
        <v>200707</v>
      </c>
      <c r="Y386">
        <v>46958</v>
      </c>
      <c r="Z386">
        <v>97167</v>
      </c>
      <c r="AA386">
        <v>286306</v>
      </c>
      <c r="AB386">
        <v>12</v>
      </c>
      <c r="AC386">
        <v>72425</v>
      </c>
      <c r="AD386">
        <v>11451913</v>
      </c>
      <c r="AE386">
        <v>13371482</v>
      </c>
      <c r="AF386">
        <v>20107</v>
      </c>
      <c r="AG386" t="s">
        <v>144</v>
      </c>
      <c r="AH386" t="s">
        <v>145</v>
      </c>
      <c r="AI386" t="s">
        <v>144</v>
      </c>
      <c r="AJ386" t="s">
        <v>145</v>
      </c>
      <c r="AK386">
        <v>6200</v>
      </c>
      <c r="AL386" t="s">
        <v>44</v>
      </c>
      <c r="AM386">
        <v>3</v>
      </c>
      <c r="AN386">
        <v>3</v>
      </c>
      <c r="AO386">
        <v>2025</v>
      </c>
      <c r="AP386">
        <v>3</v>
      </c>
    </row>
    <row r="387" spans="1:42" x14ac:dyDescent="0.25">
      <c r="A387">
        <v>40121</v>
      </c>
      <c r="B387">
        <v>230156</v>
      </c>
      <c r="C387">
        <v>104610</v>
      </c>
      <c r="D387">
        <v>200727</v>
      </c>
      <c r="E387">
        <v>89916</v>
      </c>
      <c r="F387">
        <v>665530</v>
      </c>
      <c r="G387">
        <v>38836</v>
      </c>
      <c r="H387">
        <v>73657</v>
      </c>
      <c r="I387">
        <v>43093</v>
      </c>
      <c r="J387">
        <v>155586</v>
      </c>
      <c r="K387">
        <v>821116</v>
      </c>
      <c r="L387">
        <v>275425</v>
      </c>
      <c r="M387">
        <v>125924</v>
      </c>
      <c r="N387">
        <v>1</v>
      </c>
      <c r="O387">
        <v>23666</v>
      </c>
      <c r="P387">
        <v>425016</v>
      </c>
      <c r="Q387">
        <v>11196</v>
      </c>
      <c r="R387">
        <v>11649</v>
      </c>
      <c r="S387">
        <v>11028</v>
      </c>
      <c r="T387">
        <v>21944</v>
      </c>
      <c r="V387">
        <v>6</v>
      </c>
      <c r="W387">
        <v>123890</v>
      </c>
      <c r="X387">
        <v>179713</v>
      </c>
      <c r="Y387">
        <v>47610</v>
      </c>
      <c r="Z387">
        <v>98423</v>
      </c>
      <c r="AA387">
        <v>279400</v>
      </c>
      <c r="AB387">
        <v>71</v>
      </c>
      <c r="AC387">
        <v>107870</v>
      </c>
      <c r="AD387">
        <v>13088820</v>
      </c>
      <c r="AE387">
        <v>15048039</v>
      </c>
      <c r="AF387">
        <v>20107</v>
      </c>
      <c r="AG387" t="s">
        <v>144</v>
      </c>
      <c r="AH387" t="s">
        <v>145</v>
      </c>
      <c r="AI387" t="s">
        <v>144</v>
      </c>
      <c r="AJ387" t="s">
        <v>145</v>
      </c>
      <c r="AK387">
        <v>6200</v>
      </c>
      <c r="AL387" t="s">
        <v>44</v>
      </c>
      <c r="AM387">
        <v>3</v>
      </c>
      <c r="AN387">
        <v>3</v>
      </c>
      <c r="AO387">
        <v>2025</v>
      </c>
      <c r="AP387">
        <v>4</v>
      </c>
    </row>
    <row r="388" spans="1:42" x14ac:dyDescent="0.25">
      <c r="A388">
        <v>-581</v>
      </c>
      <c r="B388">
        <v>1145148</v>
      </c>
      <c r="C388">
        <v>114172</v>
      </c>
      <c r="D388">
        <v>511596</v>
      </c>
      <c r="E388">
        <v>343772</v>
      </c>
      <c r="F388">
        <v>2114107</v>
      </c>
      <c r="G388">
        <v>152898</v>
      </c>
      <c r="H388">
        <v>571998</v>
      </c>
      <c r="I388">
        <v>157761</v>
      </c>
      <c r="J388">
        <v>882657</v>
      </c>
      <c r="K388">
        <v>2996764</v>
      </c>
      <c r="L388">
        <v>1481766</v>
      </c>
      <c r="M388">
        <v>107632</v>
      </c>
      <c r="N388">
        <v>15801</v>
      </c>
      <c r="O388">
        <v>14454</v>
      </c>
      <c r="P388">
        <v>1619653</v>
      </c>
      <c r="Q388">
        <v>88092</v>
      </c>
      <c r="R388">
        <v>7762</v>
      </c>
      <c r="S388">
        <v>17888</v>
      </c>
      <c r="T388">
        <v>271678</v>
      </c>
      <c r="U388">
        <v>1547</v>
      </c>
      <c r="V388">
        <v>943</v>
      </c>
      <c r="W388">
        <v>475291</v>
      </c>
      <c r="X388">
        <v>863201</v>
      </c>
      <c r="Y388">
        <v>165673</v>
      </c>
      <c r="Z388">
        <v>351802</v>
      </c>
      <c r="AA388">
        <v>385307</v>
      </c>
      <c r="AB388">
        <v>12979</v>
      </c>
      <c r="AC388">
        <v>74713</v>
      </c>
      <c r="AD388">
        <v>32917</v>
      </c>
      <c r="AE388">
        <v>6503009</v>
      </c>
      <c r="AF388">
        <v>19393</v>
      </c>
      <c r="AG388" t="s">
        <v>99</v>
      </c>
      <c r="AH388" t="s">
        <v>100</v>
      </c>
      <c r="AI388" t="s">
        <v>99</v>
      </c>
      <c r="AJ388" t="s">
        <v>100</v>
      </c>
      <c r="AK388">
        <v>6725</v>
      </c>
      <c r="AL388" t="s">
        <v>44</v>
      </c>
      <c r="AM388">
        <v>3</v>
      </c>
      <c r="AN388">
        <v>3</v>
      </c>
      <c r="AO388">
        <v>2024</v>
      </c>
      <c r="AP388">
        <v>1</v>
      </c>
    </row>
    <row r="389" spans="1:42" x14ac:dyDescent="0.25">
      <c r="A389">
        <v>-20</v>
      </c>
      <c r="B389">
        <v>38434</v>
      </c>
      <c r="C389">
        <v>3832</v>
      </c>
      <c r="D389">
        <v>17170</v>
      </c>
      <c r="E389">
        <v>11538</v>
      </c>
      <c r="F389">
        <v>70954</v>
      </c>
      <c r="G389">
        <v>5132</v>
      </c>
      <c r="H389">
        <v>19198</v>
      </c>
      <c r="I389">
        <v>5295</v>
      </c>
      <c r="J389">
        <v>29625</v>
      </c>
      <c r="K389">
        <v>100579</v>
      </c>
      <c r="L389">
        <v>49731</v>
      </c>
      <c r="M389">
        <v>3612</v>
      </c>
      <c r="N389">
        <v>530</v>
      </c>
      <c r="O389">
        <v>485</v>
      </c>
      <c r="P389">
        <v>54358</v>
      </c>
      <c r="Q389">
        <v>2957</v>
      </c>
      <c r="R389">
        <v>260</v>
      </c>
      <c r="S389">
        <v>600</v>
      </c>
      <c r="T389">
        <v>9118</v>
      </c>
      <c r="U389">
        <v>52</v>
      </c>
      <c r="V389">
        <v>32</v>
      </c>
      <c r="W389">
        <v>15952</v>
      </c>
      <c r="X389">
        <v>28971</v>
      </c>
      <c r="Y389">
        <v>5560</v>
      </c>
      <c r="Z389">
        <v>11807</v>
      </c>
      <c r="AA389">
        <v>12932</v>
      </c>
      <c r="AB389">
        <v>435</v>
      </c>
      <c r="AC389">
        <v>2508</v>
      </c>
      <c r="AD389">
        <v>1106</v>
      </c>
      <c r="AE389">
        <v>218256</v>
      </c>
      <c r="AF389">
        <v>19393</v>
      </c>
      <c r="AG389" t="s">
        <v>99</v>
      </c>
      <c r="AH389" t="s">
        <v>100</v>
      </c>
      <c r="AI389" t="s">
        <v>99</v>
      </c>
      <c r="AJ389" t="s">
        <v>100</v>
      </c>
      <c r="AK389">
        <v>11033</v>
      </c>
      <c r="AL389" t="s">
        <v>50</v>
      </c>
      <c r="AM389">
        <v>3</v>
      </c>
      <c r="AN389">
        <v>3</v>
      </c>
      <c r="AO389">
        <v>2024</v>
      </c>
      <c r="AP389">
        <v>1</v>
      </c>
    </row>
    <row r="390" spans="1:42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C390">
        <v>0</v>
      </c>
      <c r="AD390">
        <v>0</v>
      </c>
      <c r="AE390">
        <v>0</v>
      </c>
      <c r="AF390">
        <v>20372</v>
      </c>
      <c r="AG390" t="s">
        <v>45</v>
      </c>
      <c r="AH390" t="s">
        <v>46</v>
      </c>
      <c r="AI390" t="s">
        <v>45</v>
      </c>
      <c r="AJ390" t="s">
        <v>46</v>
      </c>
      <c r="AK390">
        <v>16770</v>
      </c>
      <c r="AL390" t="s">
        <v>47</v>
      </c>
      <c r="AM390">
        <v>1</v>
      </c>
      <c r="AN390">
        <v>1</v>
      </c>
      <c r="AO390">
        <v>2024</v>
      </c>
      <c r="AP390">
        <v>1</v>
      </c>
    </row>
    <row r="391" spans="1:42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C391">
        <v>0</v>
      </c>
      <c r="AD391">
        <v>0</v>
      </c>
      <c r="AE391">
        <v>0</v>
      </c>
      <c r="AF391">
        <v>20372</v>
      </c>
      <c r="AG391" t="s">
        <v>45</v>
      </c>
      <c r="AH391" t="s">
        <v>46</v>
      </c>
      <c r="AI391" t="s">
        <v>45</v>
      </c>
      <c r="AJ391" t="s">
        <v>46</v>
      </c>
      <c r="AK391">
        <v>16770</v>
      </c>
      <c r="AL391" t="s">
        <v>47</v>
      </c>
      <c r="AM391">
        <v>1</v>
      </c>
      <c r="AN391">
        <v>1</v>
      </c>
      <c r="AO391">
        <v>2024</v>
      </c>
      <c r="AP391">
        <v>2</v>
      </c>
    </row>
    <row r="392" spans="1:42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C392">
        <v>0</v>
      </c>
      <c r="AD392">
        <v>0</v>
      </c>
      <c r="AE392">
        <v>0</v>
      </c>
      <c r="AF392">
        <v>20372</v>
      </c>
      <c r="AG392" t="s">
        <v>45</v>
      </c>
      <c r="AH392" t="s">
        <v>46</v>
      </c>
      <c r="AI392" t="s">
        <v>45</v>
      </c>
      <c r="AJ392" t="s">
        <v>46</v>
      </c>
      <c r="AK392">
        <v>16770</v>
      </c>
      <c r="AL392" t="s">
        <v>47</v>
      </c>
      <c r="AM392">
        <v>1</v>
      </c>
      <c r="AN392">
        <v>1</v>
      </c>
      <c r="AO392">
        <v>2024</v>
      </c>
      <c r="AP392">
        <v>3</v>
      </c>
    </row>
    <row r="393" spans="1:42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C393">
        <v>0</v>
      </c>
      <c r="AD393">
        <v>0</v>
      </c>
      <c r="AE393">
        <v>0</v>
      </c>
      <c r="AF393">
        <v>20372</v>
      </c>
      <c r="AG393" t="s">
        <v>45</v>
      </c>
      <c r="AH393" t="s">
        <v>46</v>
      </c>
      <c r="AI393" t="s">
        <v>45</v>
      </c>
      <c r="AJ393" t="s">
        <v>46</v>
      </c>
      <c r="AK393">
        <v>16770</v>
      </c>
      <c r="AL393" t="s">
        <v>47</v>
      </c>
      <c r="AM393">
        <v>1</v>
      </c>
      <c r="AN393">
        <v>1</v>
      </c>
      <c r="AO393">
        <v>2024</v>
      </c>
      <c r="AP393">
        <v>4</v>
      </c>
    </row>
    <row r="394" spans="1:42" x14ac:dyDescent="0.25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19687</v>
      </c>
      <c r="AG394" t="s">
        <v>48</v>
      </c>
      <c r="AH394" t="s">
        <v>49</v>
      </c>
      <c r="AI394" t="s">
        <v>48</v>
      </c>
      <c r="AJ394" t="s">
        <v>49</v>
      </c>
      <c r="AK394">
        <v>11023</v>
      </c>
      <c r="AL394" t="s">
        <v>50</v>
      </c>
      <c r="AM394">
        <v>2</v>
      </c>
      <c r="AN394">
        <v>2</v>
      </c>
      <c r="AO394">
        <v>2024</v>
      </c>
      <c r="AP394">
        <v>1</v>
      </c>
    </row>
    <row r="395" spans="1:42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19687</v>
      </c>
      <c r="AG395" t="s">
        <v>48</v>
      </c>
      <c r="AH395" t="s">
        <v>49</v>
      </c>
      <c r="AI395" t="s">
        <v>48</v>
      </c>
      <c r="AJ395" t="s">
        <v>49</v>
      </c>
      <c r="AK395">
        <v>11023</v>
      </c>
      <c r="AL395" t="s">
        <v>50</v>
      </c>
      <c r="AM395">
        <v>2</v>
      </c>
      <c r="AN395">
        <v>2</v>
      </c>
      <c r="AO395">
        <v>2024</v>
      </c>
      <c r="AP395">
        <v>2</v>
      </c>
    </row>
    <row r="396" spans="1:42" x14ac:dyDescent="0.25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19687</v>
      </c>
      <c r="AG396" t="s">
        <v>48</v>
      </c>
      <c r="AH396" t="s">
        <v>49</v>
      </c>
      <c r="AI396" t="s">
        <v>48</v>
      </c>
      <c r="AJ396" t="s">
        <v>49</v>
      </c>
      <c r="AK396">
        <v>11023</v>
      </c>
      <c r="AL396" t="s">
        <v>50</v>
      </c>
      <c r="AM396">
        <v>2</v>
      </c>
      <c r="AN396">
        <v>2</v>
      </c>
      <c r="AO396">
        <v>2024</v>
      </c>
      <c r="AP396">
        <v>3</v>
      </c>
    </row>
    <row r="397" spans="1:42" x14ac:dyDescent="0.25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19687</v>
      </c>
      <c r="AG397" t="s">
        <v>48</v>
      </c>
      <c r="AH397" t="s">
        <v>49</v>
      </c>
      <c r="AI397" t="s">
        <v>48</v>
      </c>
      <c r="AJ397" t="s">
        <v>49</v>
      </c>
      <c r="AK397">
        <v>11023</v>
      </c>
      <c r="AL397" t="s">
        <v>50</v>
      </c>
      <c r="AM397">
        <v>2</v>
      </c>
      <c r="AN397">
        <v>2</v>
      </c>
      <c r="AO397">
        <v>2024</v>
      </c>
      <c r="AP397">
        <v>4</v>
      </c>
    </row>
    <row r="398" spans="1:42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20100</v>
      </c>
      <c r="AG398" t="s">
        <v>51</v>
      </c>
      <c r="AH398" t="s">
        <v>52</v>
      </c>
      <c r="AI398" t="s">
        <v>51</v>
      </c>
      <c r="AJ398" t="s">
        <v>52</v>
      </c>
      <c r="AK398">
        <v>16757</v>
      </c>
      <c r="AL398" t="s">
        <v>53</v>
      </c>
      <c r="AM398">
        <v>3</v>
      </c>
      <c r="AN398">
        <v>3</v>
      </c>
      <c r="AO398">
        <v>2024</v>
      </c>
      <c r="AP398">
        <v>2</v>
      </c>
    </row>
    <row r="399" spans="1:42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20100</v>
      </c>
      <c r="AG399" t="s">
        <v>51</v>
      </c>
      <c r="AH399" t="s">
        <v>52</v>
      </c>
      <c r="AI399" t="s">
        <v>51</v>
      </c>
      <c r="AJ399" t="s">
        <v>52</v>
      </c>
      <c r="AK399">
        <v>16757</v>
      </c>
      <c r="AL399" t="s">
        <v>53</v>
      </c>
      <c r="AM399">
        <v>3</v>
      </c>
      <c r="AN399">
        <v>3</v>
      </c>
      <c r="AO399">
        <v>2024</v>
      </c>
      <c r="AP399">
        <v>4</v>
      </c>
    </row>
    <row r="400" spans="1:42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20452</v>
      </c>
      <c r="AG400" t="s">
        <v>54</v>
      </c>
      <c r="AH400" t="s">
        <v>55</v>
      </c>
      <c r="AI400" t="s">
        <v>54</v>
      </c>
      <c r="AJ400" t="s">
        <v>55</v>
      </c>
      <c r="AK400">
        <v>11029</v>
      </c>
      <c r="AL400" t="s">
        <v>50</v>
      </c>
      <c r="AM400">
        <v>3</v>
      </c>
      <c r="AN400">
        <v>3</v>
      </c>
      <c r="AO400">
        <v>2024</v>
      </c>
      <c r="AP400">
        <v>1</v>
      </c>
    </row>
    <row r="401" spans="1:42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20452</v>
      </c>
      <c r="AG401" t="s">
        <v>54</v>
      </c>
      <c r="AH401" t="s">
        <v>55</v>
      </c>
      <c r="AI401" t="s">
        <v>54</v>
      </c>
      <c r="AJ401" t="s">
        <v>55</v>
      </c>
      <c r="AK401">
        <v>11029</v>
      </c>
      <c r="AL401" t="s">
        <v>50</v>
      </c>
      <c r="AM401">
        <v>3</v>
      </c>
      <c r="AN401">
        <v>3</v>
      </c>
      <c r="AO401">
        <v>2024</v>
      </c>
      <c r="AP401">
        <v>2</v>
      </c>
    </row>
    <row r="402" spans="1:42" x14ac:dyDescent="0.25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20452</v>
      </c>
      <c r="AG402" t="s">
        <v>54</v>
      </c>
      <c r="AH402" t="s">
        <v>55</v>
      </c>
      <c r="AI402" t="s">
        <v>54</v>
      </c>
      <c r="AJ402" t="s">
        <v>55</v>
      </c>
      <c r="AK402">
        <v>11029</v>
      </c>
      <c r="AL402" t="s">
        <v>50</v>
      </c>
      <c r="AM402">
        <v>3</v>
      </c>
      <c r="AN402">
        <v>3</v>
      </c>
      <c r="AO402">
        <v>2024</v>
      </c>
      <c r="AP402">
        <v>3</v>
      </c>
    </row>
    <row r="403" spans="1:42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20452</v>
      </c>
      <c r="AG403" t="s">
        <v>54</v>
      </c>
      <c r="AH403" t="s">
        <v>55</v>
      </c>
      <c r="AI403" t="s">
        <v>54</v>
      </c>
      <c r="AJ403" t="s">
        <v>55</v>
      </c>
      <c r="AK403">
        <v>11029</v>
      </c>
      <c r="AL403" t="s">
        <v>50</v>
      </c>
      <c r="AM403">
        <v>3</v>
      </c>
      <c r="AN403">
        <v>3</v>
      </c>
      <c r="AO403">
        <v>2024</v>
      </c>
      <c r="AP403">
        <v>4</v>
      </c>
    </row>
    <row r="404" spans="1:42" x14ac:dyDescent="0.25">
      <c r="A404">
        <v>0</v>
      </c>
      <c r="B404">
        <v>326.08999999999997</v>
      </c>
      <c r="C404">
        <v>154.47</v>
      </c>
      <c r="D404">
        <v>99.84</v>
      </c>
      <c r="E404">
        <v>0</v>
      </c>
      <c r="F404">
        <v>580.4</v>
      </c>
      <c r="G404">
        <v>505.23</v>
      </c>
      <c r="H404">
        <v>68.28</v>
      </c>
      <c r="I404">
        <v>108.27</v>
      </c>
      <c r="J404">
        <v>681.78</v>
      </c>
      <c r="K404">
        <v>1262.18</v>
      </c>
      <c r="L404">
        <v>361.55</v>
      </c>
      <c r="M404">
        <v>2.1</v>
      </c>
      <c r="N404">
        <v>0</v>
      </c>
      <c r="O404">
        <v>-4.3499999999999996</v>
      </c>
      <c r="P404">
        <v>359.3</v>
      </c>
      <c r="Q404">
        <v>0</v>
      </c>
      <c r="R404">
        <v>1.89</v>
      </c>
      <c r="S404">
        <v>0</v>
      </c>
      <c r="T404">
        <v>37.86</v>
      </c>
      <c r="U404">
        <v>0</v>
      </c>
      <c r="V404">
        <v>0</v>
      </c>
      <c r="W404">
        <v>163.98</v>
      </c>
      <c r="X404">
        <v>203.73</v>
      </c>
      <c r="Y404">
        <v>45.64</v>
      </c>
      <c r="Z404">
        <v>34.549999999999997</v>
      </c>
      <c r="AA404">
        <v>0</v>
      </c>
      <c r="AB404">
        <v>0</v>
      </c>
      <c r="AC404">
        <v>56.21</v>
      </c>
      <c r="AD404">
        <v>0</v>
      </c>
      <c r="AE404">
        <v>1961.6</v>
      </c>
      <c r="AF404">
        <v>20169</v>
      </c>
      <c r="AG404" t="s">
        <v>56</v>
      </c>
      <c r="AH404" t="s">
        <v>57</v>
      </c>
      <c r="AI404" t="s">
        <v>56</v>
      </c>
      <c r="AJ404" t="s">
        <v>57</v>
      </c>
      <c r="AK404">
        <v>11040</v>
      </c>
      <c r="AL404" t="s">
        <v>47</v>
      </c>
      <c r="AM404">
        <v>2</v>
      </c>
      <c r="AN404">
        <v>2</v>
      </c>
      <c r="AO404">
        <v>2024</v>
      </c>
      <c r="AP404">
        <v>1</v>
      </c>
    </row>
    <row r="405" spans="1:42" x14ac:dyDescent="0.25">
      <c r="A405">
        <v>0</v>
      </c>
      <c r="B405">
        <v>372.81</v>
      </c>
      <c r="C405">
        <v>257.32</v>
      </c>
      <c r="D405">
        <v>174.69</v>
      </c>
      <c r="E405">
        <v>1.34</v>
      </c>
      <c r="F405">
        <v>806.15</v>
      </c>
      <c r="G405">
        <v>473.14</v>
      </c>
      <c r="H405">
        <v>83.23</v>
      </c>
      <c r="I405">
        <v>84.75</v>
      </c>
      <c r="J405">
        <v>641.12</v>
      </c>
      <c r="K405">
        <v>1447.27</v>
      </c>
      <c r="L405">
        <v>392.91</v>
      </c>
      <c r="M405">
        <v>17.96</v>
      </c>
      <c r="N405">
        <v>0</v>
      </c>
      <c r="O405">
        <v>5</v>
      </c>
      <c r="P405">
        <v>415.87</v>
      </c>
      <c r="Q405">
        <v>0</v>
      </c>
      <c r="R405">
        <v>0.84</v>
      </c>
      <c r="S405">
        <v>2.88</v>
      </c>
      <c r="T405">
        <v>24.41</v>
      </c>
      <c r="U405">
        <v>0</v>
      </c>
      <c r="V405">
        <v>0</v>
      </c>
      <c r="W405">
        <v>123.11</v>
      </c>
      <c r="X405">
        <v>151.24</v>
      </c>
      <c r="Y405">
        <v>95.83</v>
      </c>
      <c r="Z405">
        <v>155.88999999999999</v>
      </c>
      <c r="AA405">
        <v>0</v>
      </c>
      <c r="AB405">
        <v>0</v>
      </c>
      <c r="AC405">
        <v>89.9</v>
      </c>
      <c r="AD405">
        <v>0.06</v>
      </c>
      <c r="AE405">
        <v>2356.06</v>
      </c>
      <c r="AF405">
        <v>20169</v>
      </c>
      <c r="AG405" t="s">
        <v>56</v>
      </c>
      <c r="AH405" t="s">
        <v>57</v>
      </c>
      <c r="AI405" t="s">
        <v>56</v>
      </c>
      <c r="AJ405" t="s">
        <v>57</v>
      </c>
      <c r="AK405">
        <v>11040</v>
      </c>
      <c r="AL405" t="s">
        <v>47</v>
      </c>
      <c r="AM405">
        <v>2</v>
      </c>
      <c r="AN405">
        <v>2</v>
      </c>
      <c r="AO405">
        <v>2024</v>
      </c>
      <c r="AP405">
        <v>3</v>
      </c>
    </row>
    <row r="406" spans="1:42" x14ac:dyDescent="0.25">
      <c r="A406">
        <v>0</v>
      </c>
      <c r="B406">
        <v>442.12</v>
      </c>
      <c r="C406">
        <v>242.1</v>
      </c>
      <c r="D406">
        <v>149.46</v>
      </c>
      <c r="E406">
        <v>0</v>
      </c>
      <c r="F406">
        <v>833.67</v>
      </c>
      <c r="G406">
        <v>593.21</v>
      </c>
      <c r="H406">
        <v>81.489999999999995</v>
      </c>
      <c r="I406">
        <v>125.41</v>
      </c>
      <c r="J406">
        <v>800.11</v>
      </c>
      <c r="K406">
        <v>1633.78</v>
      </c>
      <c r="L406">
        <v>310.02999999999997</v>
      </c>
      <c r="M406">
        <v>1.55</v>
      </c>
      <c r="N406">
        <v>0</v>
      </c>
      <c r="O406">
        <v>0.47</v>
      </c>
      <c r="P406">
        <v>312.05</v>
      </c>
      <c r="Q406">
        <v>0</v>
      </c>
      <c r="R406">
        <v>0.42</v>
      </c>
      <c r="S406">
        <v>0.28000000000000003</v>
      </c>
      <c r="T406">
        <v>10.01</v>
      </c>
      <c r="U406">
        <v>0</v>
      </c>
      <c r="V406">
        <v>0</v>
      </c>
      <c r="W406">
        <v>147.6</v>
      </c>
      <c r="X406">
        <v>158.31</v>
      </c>
      <c r="Y406">
        <v>119.08</v>
      </c>
      <c r="Z406">
        <v>141.29</v>
      </c>
      <c r="AA406">
        <v>0</v>
      </c>
      <c r="AB406">
        <v>0</v>
      </c>
      <c r="AC406">
        <v>85.49</v>
      </c>
      <c r="AD406">
        <v>0</v>
      </c>
      <c r="AE406">
        <v>2450.0100000000002</v>
      </c>
      <c r="AF406">
        <v>20169</v>
      </c>
      <c r="AG406" t="s">
        <v>56</v>
      </c>
      <c r="AH406" t="s">
        <v>57</v>
      </c>
      <c r="AI406" t="s">
        <v>56</v>
      </c>
      <c r="AJ406" t="s">
        <v>57</v>
      </c>
      <c r="AK406">
        <v>11040</v>
      </c>
      <c r="AL406" t="s">
        <v>47</v>
      </c>
      <c r="AM406">
        <v>2</v>
      </c>
      <c r="AN406">
        <v>2</v>
      </c>
      <c r="AO406">
        <v>2024</v>
      </c>
      <c r="AP406">
        <v>2</v>
      </c>
    </row>
    <row r="407" spans="1:42" x14ac:dyDescent="0.25">
      <c r="A407">
        <v>0</v>
      </c>
      <c r="B407">
        <v>659.99</v>
      </c>
      <c r="C407">
        <v>333.53</v>
      </c>
      <c r="D407">
        <v>336.64</v>
      </c>
      <c r="E407">
        <v>0</v>
      </c>
      <c r="F407">
        <v>1330.16</v>
      </c>
      <c r="G407">
        <v>1040.8</v>
      </c>
      <c r="H407">
        <v>122.99</v>
      </c>
      <c r="I407">
        <v>128.74</v>
      </c>
      <c r="J407">
        <v>1292.53</v>
      </c>
      <c r="K407">
        <v>2622.69</v>
      </c>
      <c r="L407">
        <v>253.92</v>
      </c>
      <c r="M407">
        <v>88.24</v>
      </c>
      <c r="N407">
        <v>0</v>
      </c>
      <c r="O407">
        <v>9.77</v>
      </c>
      <c r="P407">
        <v>351.93</v>
      </c>
      <c r="Q407">
        <v>1.29</v>
      </c>
      <c r="R407">
        <v>1.24</v>
      </c>
      <c r="S407">
        <v>113.28</v>
      </c>
      <c r="T407">
        <v>56.51</v>
      </c>
      <c r="U407">
        <v>0</v>
      </c>
      <c r="V407">
        <v>0</v>
      </c>
      <c r="W407">
        <v>93.17</v>
      </c>
      <c r="X407">
        <v>265.48</v>
      </c>
      <c r="Y407">
        <v>75.930000000000007</v>
      </c>
      <c r="Z407">
        <v>85.93</v>
      </c>
      <c r="AA407">
        <v>0</v>
      </c>
      <c r="AB407">
        <v>0</v>
      </c>
      <c r="AC407">
        <v>88.12</v>
      </c>
      <c r="AD407">
        <v>0</v>
      </c>
      <c r="AE407">
        <v>3490.08</v>
      </c>
      <c r="AF407">
        <v>20169</v>
      </c>
      <c r="AG407" t="s">
        <v>56</v>
      </c>
      <c r="AH407" t="s">
        <v>57</v>
      </c>
      <c r="AI407" t="s">
        <v>56</v>
      </c>
      <c r="AJ407" t="s">
        <v>57</v>
      </c>
      <c r="AK407">
        <v>11040</v>
      </c>
      <c r="AL407" t="s">
        <v>47</v>
      </c>
      <c r="AM407">
        <v>2</v>
      </c>
      <c r="AN407">
        <v>2</v>
      </c>
      <c r="AO407">
        <v>2024</v>
      </c>
      <c r="AP407">
        <v>4</v>
      </c>
    </row>
    <row r="408" spans="1:42" x14ac:dyDescent="0.25">
      <c r="A408">
        <v>0</v>
      </c>
      <c r="B408">
        <v>911.14</v>
      </c>
      <c r="C408">
        <v>217.73</v>
      </c>
      <c r="D408">
        <v>49.41</v>
      </c>
      <c r="E408">
        <v>217.36</v>
      </c>
      <c r="F408">
        <v>1395.64</v>
      </c>
      <c r="G408">
        <v>0</v>
      </c>
      <c r="H408">
        <v>104.23</v>
      </c>
      <c r="I408">
        <v>131.61000000000001</v>
      </c>
      <c r="J408">
        <v>235.83</v>
      </c>
      <c r="K408">
        <v>1631.48</v>
      </c>
      <c r="L408">
        <v>2210.36</v>
      </c>
      <c r="M408">
        <v>521.83000000000004</v>
      </c>
      <c r="N408">
        <v>288.51</v>
      </c>
      <c r="O408">
        <v>0</v>
      </c>
      <c r="P408">
        <v>3020.69</v>
      </c>
      <c r="Q408">
        <v>2.62</v>
      </c>
      <c r="R408">
        <v>0</v>
      </c>
      <c r="S408">
        <v>50.83</v>
      </c>
      <c r="T408">
        <v>0</v>
      </c>
      <c r="U408">
        <v>0</v>
      </c>
      <c r="V408">
        <v>0</v>
      </c>
      <c r="W408">
        <v>0</v>
      </c>
      <c r="X408">
        <v>53.45</v>
      </c>
      <c r="Y408">
        <v>846.44</v>
      </c>
      <c r="Z408">
        <v>1484.3</v>
      </c>
      <c r="AA408">
        <v>420.5</v>
      </c>
      <c r="AB408">
        <v>0</v>
      </c>
      <c r="AC408">
        <v>3399.78</v>
      </c>
      <c r="AD408">
        <v>0</v>
      </c>
      <c r="AE408">
        <v>10856.63</v>
      </c>
      <c r="AF408">
        <v>20405</v>
      </c>
      <c r="AG408" t="s">
        <v>58</v>
      </c>
      <c r="AH408" t="s">
        <v>59</v>
      </c>
      <c r="AI408" t="s">
        <v>58</v>
      </c>
      <c r="AJ408" t="s">
        <v>59</v>
      </c>
      <c r="AK408">
        <v>7029</v>
      </c>
      <c r="AL408" t="s">
        <v>44</v>
      </c>
      <c r="AM408">
        <v>2</v>
      </c>
      <c r="AN408">
        <v>2</v>
      </c>
      <c r="AO408">
        <v>2024</v>
      </c>
      <c r="AP408">
        <v>4</v>
      </c>
    </row>
    <row r="409" spans="1:42" x14ac:dyDescent="0.25">
      <c r="A409">
        <v>0</v>
      </c>
      <c r="B409">
        <v>1079.32</v>
      </c>
      <c r="C409">
        <v>277.33</v>
      </c>
      <c r="D409">
        <v>58.81</v>
      </c>
      <c r="E409">
        <v>240.83</v>
      </c>
      <c r="F409">
        <v>1656.28</v>
      </c>
      <c r="G409">
        <v>0</v>
      </c>
      <c r="H409">
        <v>113.71</v>
      </c>
      <c r="I409">
        <v>110.12</v>
      </c>
      <c r="J409">
        <v>223.83</v>
      </c>
      <c r="K409">
        <v>1880.11</v>
      </c>
      <c r="L409">
        <v>2908.94</v>
      </c>
      <c r="M409">
        <v>-26.02</v>
      </c>
      <c r="N409">
        <v>437.92</v>
      </c>
      <c r="O409">
        <v>0</v>
      </c>
      <c r="P409">
        <v>3320.84</v>
      </c>
      <c r="Q409">
        <v>0.04</v>
      </c>
      <c r="R409">
        <v>0</v>
      </c>
      <c r="S409">
        <v>126.29</v>
      </c>
      <c r="T409">
        <v>0</v>
      </c>
      <c r="U409">
        <v>0</v>
      </c>
      <c r="V409">
        <v>0</v>
      </c>
      <c r="W409">
        <v>0</v>
      </c>
      <c r="X409">
        <v>126.33</v>
      </c>
      <c r="Y409">
        <v>889.83</v>
      </c>
      <c r="Z409">
        <v>2370.9</v>
      </c>
      <c r="AA409">
        <v>442.78</v>
      </c>
      <c r="AB409">
        <v>0</v>
      </c>
      <c r="AC409">
        <v>2218.5100000000002</v>
      </c>
      <c r="AD409">
        <v>0</v>
      </c>
      <c r="AE409">
        <v>11249.28</v>
      </c>
      <c r="AF409">
        <v>20405</v>
      </c>
      <c r="AG409" t="s">
        <v>58</v>
      </c>
      <c r="AH409" t="s">
        <v>59</v>
      </c>
      <c r="AI409" t="s">
        <v>58</v>
      </c>
      <c r="AJ409" t="s">
        <v>59</v>
      </c>
      <c r="AK409">
        <v>7029</v>
      </c>
      <c r="AL409" t="s">
        <v>44</v>
      </c>
      <c r="AM409">
        <v>2</v>
      </c>
      <c r="AN409">
        <v>2</v>
      </c>
      <c r="AO409">
        <v>2024</v>
      </c>
      <c r="AP409">
        <v>2</v>
      </c>
    </row>
    <row r="410" spans="1:42" x14ac:dyDescent="0.25">
      <c r="A410">
        <v>0</v>
      </c>
      <c r="B410">
        <v>1324.97</v>
      </c>
      <c r="C410">
        <v>316.08</v>
      </c>
      <c r="D410">
        <v>81.34</v>
      </c>
      <c r="E410">
        <v>349.64</v>
      </c>
      <c r="F410">
        <v>2072.02</v>
      </c>
      <c r="G410">
        <v>0</v>
      </c>
      <c r="H410">
        <v>168.94</v>
      </c>
      <c r="I410">
        <v>110.29</v>
      </c>
      <c r="J410">
        <v>279.23</v>
      </c>
      <c r="K410">
        <v>2351.2399999999998</v>
      </c>
      <c r="L410">
        <v>2648.88</v>
      </c>
      <c r="M410">
        <v>335.69</v>
      </c>
      <c r="N410">
        <v>354.24</v>
      </c>
      <c r="O410">
        <v>0</v>
      </c>
      <c r="P410">
        <v>3338.8</v>
      </c>
      <c r="Q410">
        <v>0.05</v>
      </c>
      <c r="R410">
        <v>0</v>
      </c>
      <c r="S410">
        <v>94.14</v>
      </c>
      <c r="T410">
        <v>0</v>
      </c>
      <c r="U410">
        <v>0</v>
      </c>
      <c r="V410">
        <v>0</v>
      </c>
      <c r="W410">
        <v>0</v>
      </c>
      <c r="X410">
        <v>94.19</v>
      </c>
      <c r="Y410">
        <v>764.41</v>
      </c>
      <c r="Z410">
        <v>2643.38</v>
      </c>
      <c r="AA410">
        <v>323.85000000000002</v>
      </c>
      <c r="AB410">
        <v>0</v>
      </c>
      <c r="AC410">
        <v>1434.45</v>
      </c>
      <c r="AD410">
        <v>0</v>
      </c>
      <c r="AE410">
        <v>10950.33</v>
      </c>
      <c r="AF410">
        <v>20405</v>
      </c>
      <c r="AG410" t="s">
        <v>58</v>
      </c>
      <c r="AH410" t="s">
        <v>59</v>
      </c>
      <c r="AI410" t="s">
        <v>58</v>
      </c>
      <c r="AJ410" t="s">
        <v>59</v>
      </c>
      <c r="AK410">
        <v>7029</v>
      </c>
      <c r="AL410" t="s">
        <v>44</v>
      </c>
      <c r="AM410">
        <v>2</v>
      </c>
      <c r="AN410">
        <v>2</v>
      </c>
      <c r="AO410">
        <v>2024</v>
      </c>
      <c r="AP410">
        <v>1</v>
      </c>
    </row>
    <row r="411" spans="1:42" x14ac:dyDescent="0.25">
      <c r="A411">
        <v>0</v>
      </c>
      <c r="B411">
        <v>1990.7</v>
      </c>
      <c r="C411">
        <v>554.44000000000005</v>
      </c>
      <c r="D411">
        <v>107.35</v>
      </c>
      <c r="E411">
        <v>501.84</v>
      </c>
      <c r="F411">
        <v>3154.33</v>
      </c>
      <c r="G411">
        <v>0</v>
      </c>
      <c r="H411">
        <v>65.28</v>
      </c>
      <c r="I411">
        <v>137.47</v>
      </c>
      <c r="J411">
        <v>202.75</v>
      </c>
      <c r="K411">
        <v>3357.08</v>
      </c>
      <c r="L411">
        <v>4358.33</v>
      </c>
      <c r="M411">
        <v>110.54</v>
      </c>
      <c r="N411">
        <v>538.70000000000005</v>
      </c>
      <c r="O411">
        <v>0</v>
      </c>
      <c r="P411">
        <v>5007.57</v>
      </c>
      <c r="Q411">
        <v>0.01</v>
      </c>
      <c r="R411">
        <v>0</v>
      </c>
      <c r="S411">
        <v>83.49</v>
      </c>
      <c r="T411">
        <v>0</v>
      </c>
      <c r="U411">
        <v>0</v>
      </c>
      <c r="V411">
        <v>0</v>
      </c>
      <c r="W411">
        <v>0</v>
      </c>
      <c r="X411">
        <v>83.49</v>
      </c>
      <c r="Y411">
        <v>1314.49</v>
      </c>
      <c r="Z411">
        <v>3176.8</v>
      </c>
      <c r="AA411">
        <v>555.28</v>
      </c>
      <c r="AB411">
        <v>0</v>
      </c>
      <c r="AC411">
        <v>2803.94</v>
      </c>
      <c r="AD411">
        <v>0</v>
      </c>
      <c r="AE411">
        <v>16298.65</v>
      </c>
      <c r="AF411">
        <v>20405</v>
      </c>
      <c r="AG411" t="s">
        <v>58</v>
      </c>
      <c r="AH411" t="s">
        <v>59</v>
      </c>
      <c r="AI411" t="s">
        <v>58</v>
      </c>
      <c r="AJ411" t="s">
        <v>59</v>
      </c>
      <c r="AK411">
        <v>7029</v>
      </c>
      <c r="AL411" t="s">
        <v>44</v>
      </c>
      <c r="AM411">
        <v>2</v>
      </c>
      <c r="AN411">
        <v>2</v>
      </c>
      <c r="AO411">
        <v>2024</v>
      </c>
      <c r="AP411">
        <v>3</v>
      </c>
    </row>
    <row r="412" spans="1:42" x14ac:dyDescent="0.25">
      <c r="A412">
        <v>0</v>
      </c>
      <c r="B412">
        <v>7916.04</v>
      </c>
      <c r="C412">
        <v>2557.4699999999998</v>
      </c>
      <c r="D412">
        <v>585.74</v>
      </c>
      <c r="E412">
        <v>1033.48</v>
      </c>
      <c r="F412">
        <v>12092.73</v>
      </c>
      <c r="G412">
        <v>909.53</v>
      </c>
      <c r="H412">
        <v>3515.31</v>
      </c>
      <c r="I412">
        <v>316.39999999999998</v>
      </c>
      <c r="J412">
        <v>4741.2299999999996</v>
      </c>
      <c r="K412">
        <v>16833.97</v>
      </c>
      <c r="L412">
        <v>14807.78</v>
      </c>
      <c r="M412">
        <v>3482.41</v>
      </c>
      <c r="N412">
        <v>0</v>
      </c>
      <c r="O412">
        <v>340.66</v>
      </c>
      <c r="P412">
        <v>18630.849999999999</v>
      </c>
      <c r="Q412">
        <v>0.34</v>
      </c>
      <c r="R412">
        <v>916.31</v>
      </c>
      <c r="S412">
        <v>160.44999999999999</v>
      </c>
      <c r="T412">
        <v>2202.44</v>
      </c>
      <c r="U412">
        <v>0</v>
      </c>
      <c r="V412">
        <v>16.350000000000001</v>
      </c>
      <c r="W412">
        <v>1014.2</v>
      </c>
      <c r="X412">
        <v>4310.08</v>
      </c>
      <c r="Y412">
        <v>1870.58</v>
      </c>
      <c r="Z412">
        <v>1389.56</v>
      </c>
      <c r="AA412">
        <v>2272.89</v>
      </c>
      <c r="AB412">
        <v>30.76</v>
      </c>
      <c r="AC412">
        <v>2413.7199999999998</v>
      </c>
      <c r="AD412">
        <v>0</v>
      </c>
      <c r="AE412">
        <v>47752.4</v>
      </c>
      <c r="AF412">
        <v>19917</v>
      </c>
      <c r="AG412" t="s">
        <v>60</v>
      </c>
      <c r="AH412" t="s">
        <v>61</v>
      </c>
      <c r="AI412" t="s">
        <v>60</v>
      </c>
      <c r="AJ412" t="s">
        <v>61</v>
      </c>
      <c r="AK412">
        <v>16912</v>
      </c>
      <c r="AL412" t="s">
        <v>50</v>
      </c>
      <c r="AM412">
        <v>3</v>
      </c>
      <c r="AN412">
        <v>3</v>
      </c>
      <c r="AO412">
        <v>2024</v>
      </c>
      <c r="AP412">
        <v>4</v>
      </c>
    </row>
    <row r="413" spans="1:42" x14ac:dyDescent="0.25">
      <c r="A413">
        <v>0</v>
      </c>
      <c r="B413">
        <v>9055.08</v>
      </c>
      <c r="C413">
        <v>2915.25</v>
      </c>
      <c r="D413">
        <v>623.5</v>
      </c>
      <c r="E413">
        <v>1226</v>
      </c>
      <c r="F413">
        <v>13819.83</v>
      </c>
      <c r="G413">
        <v>932.45</v>
      </c>
      <c r="H413">
        <v>4748.42</v>
      </c>
      <c r="I413">
        <v>519.17999999999995</v>
      </c>
      <c r="J413">
        <v>6200.04</v>
      </c>
      <c r="K413">
        <v>20019.87</v>
      </c>
      <c r="L413">
        <v>15683.33</v>
      </c>
      <c r="M413">
        <v>5887.12</v>
      </c>
      <c r="N413">
        <v>0</v>
      </c>
      <c r="O413">
        <v>150.33000000000001</v>
      </c>
      <c r="P413">
        <v>21720.78</v>
      </c>
      <c r="Q413">
        <v>0.71</v>
      </c>
      <c r="R413">
        <v>1095.58</v>
      </c>
      <c r="S413">
        <v>190.32</v>
      </c>
      <c r="T413">
        <v>2746.58</v>
      </c>
      <c r="U413">
        <v>0</v>
      </c>
      <c r="V413">
        <v>18.03</v>
      </c>
      <c r="W413">
        <v>1080.52</v>
      </c>
      <c r="X413">
        <v>5131.7299999999996</v>
      </c>
      <c r="Y413">
        <v>1939.09</v>
      </c>
      <c r="Z413">
        <v>1605.44</v>
      </c>
      <c r="AA413">
        <v>2636.77</v>
      </c>
      <c r="AB413">
        <v>36.409999999999997</v>
      </c>
      <c r="AC413">
        <v>2470.38</v>
      </c>
      <c r="AD413">
        <v>0</v>
      </c>
      <c r="AE413">
        <v>55560.46</v>
      </c>
      <c r="AF413">
        <v>19917</v>
      </c>
      <c r="AG413" t="s">
        <v>60</v>
      </c>
      <c r="AH413" t="s">
        <v>61</v>
      </c>
      <c r="AI413" t="s">
        <v>60</v>
      </c>
      <c r="AJ413" t="s">
        <v>61</v>
      </c>
      <c r="AK413">
        <v>16912</v>
      </c>
      <c r="AL413" t="s">
        <v>50</v>
      </c>
      <c r="AM413">
        <v>3</v>
      </c>
      <c r="AN413">
        <v>3</v>
      </c>
      <c r="AO413">
        <v>2024</v>
      </c>
      <c r="AP413">
        <v>3</v>
      </c>
    </row>
    <row r="414" spans="1:42" x14ac:dyDescent="0.25">
      <c r="A414">
        <v>0</v>
      </c>
      <c r="B414">
        <v>11153.39</v>
      </c>
      <c r="C414">
        <v>3491.1</v>
      </c>
      <c r="D414">
        <v>894.65</v>
      </c>
      <c r="E414">
        <v>1304.21</v>
      </c>
      <c r="F414">
        <v>16843.349999999999</v>
      </c>
      <c r="G414">
        <v>1114.56</v>
      </c>
      <c r="H414">
        <v>6234.15</v>
      </c>
      <c r="I414">
        <v>918.57</v>
      </c>
      <c r="J414">
        <v>8267.27</v>
      </c>
      <c r="K414">
        <v>25110.62</v>
      </c>
      <c r="L414">
        <v>19727.91</v>
      </c>
      <c r="M414">
        <v>9733.74</v>
      </c>
      <c r="N414">
        <v>0</v>
      </c>
      <c r="O414">
        <v>189.67</v>
      </c>
      <c r="P414">
        <v>29651.32</v>
      </c>
      <c r="Q414">
        <v>0.16</v>
      </c>
      <c r="R414">
        <v>1259.42</v>
      </c>
      <c r="S414">
        <v>213.33</v>
      </c>
      <c r="T414">
        <v>2941.04</v>
      </c>
      <c r="U414">
        <v>0</v>
      </c>
      <c r="V414">
        <v>20.76</v>
      </c>
      <c r="W414">
        <v>1377.36</v>
      </c>
      <c r="X414">
        <v>5812.06</v>
      </c>
      <c r="Y414">
        <v>2116.67</v>
      </c>
      <c r="Z414">
        <v>1863.86</v>
      </c>
      <c r="AA414">
        <v>3046.35</v>
      </c>
      <c r="AB414">
        <v>46</v>
      </c>
      <c r="AC414">
        <v>3271.72</v>
      </c>
      <c r="AD414">
        <v>0</v>
      </c>
      <c r="AE414">
        <v>70918.59</v>
      </c>
      <c r="AF414">
        <v>19917</v>
      </c>
      <c r="AG414" t="s">
        <v>60</v>
      </c>
      <c r="AH414" t="s">
        <v>61</v>
      </c>
      <c r="AI414" t="s">
        <v>60</v>
      </c>
      <c r="AJ414" t="s">
        <v>61</v>
      </c>
      <c r="AK414">
        <v>16912</v>
      </c>
      <c r="AL414" t="s">
        <v>50</v>
      </c>
      <c r="AM414">
        <v>3</v>
      </c>
      <c r="AN414">
        <v>3</v>
      </c>
      <c r="AO414">
        <v>2024</v>
      </c>
      <c r="AP414">
        <v>2</v>
      </c>
    </row>
    <row r="415" spans="1:42" x14ac:dyDescent="0.25">
      <c r="A415">
        <v>0</v>
      </c>
      <c r="B415">
        <v>11248.77</v>
      </c>
      <c r="C415">
        <v>3935.46</v>
      </c>
      <c r="D415">
        <v>651.04999999999995</v>
      </c>
      <c r="E415">
        <v>5447.15</v>
      </c>
      <c r="F415">
        <v>21282.43</v>
      </c>
      <c r="G415">
        <v>2629.82</v>
      </c>
      <c r="H415">
        <v>2190.69</v>
      </c>
      <c r="I415">
        <v>1896.06</v>
      </c>
      <c r="J415">
        <v>6716.57</v>
      </c>
      <c r="K415">
        <v>27999</v>
      </c>
      <c r="L415">
        <v>0</v>
      </c>
      <c r="M415">
        <v>1879.29</v>
      </c>
      <c r="N415">
        <v>0</v>
      </c>
      <c r="O415">
        <v>388.86</v>
      </c>
      <c r="P415">
        <v>2268.15</v>
      </c>
      <c r="Q415">
        <v>0</v>
      </c>
      <c r="R415">
        <v>220.48</v>
      </c>
      <c r="S415">
        <v>-224.56</v>
      </c>
      <c r="T415">
        <v>6108.43</v>
      </c>
      <c r="U415">
        <v>0</v>
      </c>
      <c r="V415">
        <v>0</v>
      </c>
      <c r="W415">
        <v>3088.29</v>
      </c>
      <c r="X415">
        <v>9192.6299999999992</v>
      </c>
      <c r="Y415">
        <v>0</v>
      </c>
      <c r="Z415">
        <v>20546.150000000001</v>
      </c>
      <c r="AA415">
        <v>168.61</v>
      </c>
      <c r="AB415">
        <v>0</v>
      </c>
      <c r="AC415">
        <v>541.16999999999996</v>
      </c>
      <c r="AD415">
        <v>0</v>
      </c>
      <c r="AE415">
        <v>60715.72</v>
      </c>
      <c r="AF415">
        <v>20500</v>
      </c>
      <c r="AG415" t="s">
        <v>62</v>
      </c>
      <c r="AH415" t="s">
        <v>63</v>
      </c>
      <c r="AI415" t="s">
        <v>62</v>
      </c>
      <c r="AJ415" t="s">
        <v>63</v>
      </c>
      <c r="AK415">
        <v>7041</v>
      </c>
      <c r="AL415" t="s">
        <v>44</v>
      </c>
      <c r="AM415">
        <v>2</v>
      </c>
      <c r="AN415">
        <v>2</v>
      </c>
      <c r="AO415">
        <v>2024</v>
      </c>
      <c r="AP415">
        <v>1</v>
      </c>
    </row>
    <row r="416" spans="1:42" x14ac:dyDescent="0.25">
      <c r="A416">
        <v>0</v>
      </c>
      <c r="B416">
        <v>11610.43</v>
      </c>
      <c r="C416">
        <v>3424.89</v>
      </c>
      <c r="D416">
        <v>813.52</v>
      </c>
      <c r="E416">
        <v>1221.51</v>
      </c>
      <c r="F416">
        <v>17070.34</v>
      </c>
      <c r="G416">
        <v>991.96</v>
      </c>
      <c r="H416">
        <v>6813.31</v>
      </c>
      <c r="I416">
        <v>1597.58</v>
      </c>
      <c r="J416">
        <v>9402.85</v>
      </c>
      <c r="K416">
        <v>26473.19</v>
      </c>
      <c r="L416">
        <v>20044.61</v>
      </c>
      <c r="M416">
        <v>9269.27</v>
      </c>
      <c r="N416">
        <v>0</v>
      </c>
      <c r="O416">
        <v>651.57000000000005</v>
      </c>
      <c r="P416">
        <v>29965.45</v>
      </c>
      <c r="Q416">
        <v>1.06</v>
      </c>
      <c r="R416">
        <v>1342.9</v>
      </c>
      <c r="S416">
        <v>249.94</v>
      </c>
      <c r="T416">
        <v>3315.61</v>
      </c>
      <c r="U416">
        <v>0</v>
      </c>
      <c r="V416">
        <v>18.760000000000002</v>
      </c>
      <c r="W416">
        <v>1485.42</v>
      </c>
      <c r="X416">
        <v>6413.7</v>
      </c>
      <c r="Y416">
        <v>2298.58</v>
      </c>
      <c r="Z416">
        <v>2156.91</v>
      </c>
      <c r="AA416">
        <v>3117.87</v>
      </c>
      <c r="AB416">
        <v>47.42</v>
      </c>
      <c r="AC416">
        <v>3537.75</v>
      </c>
      <c r="AD416">
        <v>0</v>
      </c>
      <c r="AE416">
        <v>74010.86</v>
      </c>
      <c r="AF416">
        <v>19917</v>
      </c>
      <c r="AG416" t="s">
        <v>60</v>
      </c>
      <c r="AH416" t="s">
        <v>61</v>
      </c>
      <c r="AI416" t="s">
        <v>60</v>
      </c>
      <c r="AJ416" t="s">
        <v>61</v>
      </c>
      <c r="AK416">
        <v>16912</v>
      </c>
      <c r="AL416" t="s">
        <v>50</v>
      </c>
      <c r="AM416">
        <v>3</v>
      </c>
      <c r="AN416">
        <v>3</v>
      </c>
      <c r="AO416">
        <v>2024</v>
      </c>
      <c r="AP416">
        <v>1</v>
      </c>
    </row>
    <row r="417" spans="1:42" x14ac:dyDescent="0.25">
      <c r="A417">
        <v>0</v>
      </c>
      <c r="B417">
        <v>11899.28</v>
      </c>
      <c r="C417">
        <v>3755.25</v>
      </c>
      <c r="D417">
        <v>636.30999999999995</v>
      </c>
      <c r="E417">
        <v>5391.91</v>
      </c>
      <c r="F417">
        <v>21682.74</v>
      </c>
      <c r="G417">
        <v>2597.15</v>
      </c>
      <c r="H417">
        <v>1791.48</v>
      </c>
      <c r="I417">
        <v>1649.46</v>
      </c>
      <c r="J417">
        <v>6038.1</v>
      </c>
      <c r="K417">
        <v>27720.84</v>
      </c>
      <c r="L417">
        <v>0</v>
      </c>
      <c r="M417">
        <v>1283.5999999999999</v>
      </c>
      <c r="N417">
        <v>0</v>
      </c>
      <c r="O417">
        <v>463.04</v>
      </c>
      <c r="P417">
        <v>1746.64</v>
      </c>
      <c r="Q417">
        <v>0</v>
      </c>
      <c r="R417">
        <v>158.69999999999999</v>
      </c>
      <c r="S417">
        <v>778.45</v>
      </c>
      <c r="T417">
        <v>5741.19</v>
      </c>
      <c r="U417">
        <v>0</v>
      </c>
      <c r="V417">
        <v>0</v>
      </c>
      <c r="W417">
        <v>3260.1</v>
      </c>
      <c r="X417">
        <v>9938.4500000000007</v>
      </c>
      <c r="Y417">
        <v>0</v>
      </c>
      <c r="Z417">
        <v>16371.23</v>
      </c>
      <c r="AA417">
        <v>170.04</v>
      </c>
      <c r="AB417">
        <v>0</v>
      </c>
      <c r="AC417">
        <v>857.98</v>
      </c>
      <c r="AD417">
        <v>0</v>
      </c>
      <c r="AE417">
        <v>56805.17</v>
      </c>
      <c r="AF417">
        <v>20500</v>
      </c>
      <c r="AG417" t="s">
        <v>62</v>
      </c>
      <c r="AH417" t="s">
        <v>63</v>
      </c>
      <c r="AI417" t="s">
        <v>62</v>
      </c>
      <c r="AJ417" t="s">
        <v>63</v>
      </c>
      <c r="AK417">
        <v>7041</v>
      </c>
      <c r="AL417" t="s">
        <v>44</v>
      </c>
      <c r="AM417">
        <v>2</v>
      </c>
      <c r="AN417">
        <v>2</v>
      </c>
      <c r="AO417">
        <v>2024</v>
      </c>
      <c r="AP417">
        <v>2</v>
      </c>
    </row>
    <row r="418" spans="1:42" x14ac:dyDescent="0.25">
      <c r="A418">
        <v>0</v>
      </c>
      <c r="B418">
        <v>12987.57</v>
      </c>
      <c r="C418">
        <v>4249.4799999999996</v>
      </c>
      <c r="D418">
        <v>654.46</v>
      </c>
      <c r="E418">
        <v>8007.76</v>
      </c>
      <c r="F418">
        <v>25899.279999999999</v>
      </c>
      <c r="G418">
        <v>3172.23</v>
      </c>
      <c r="H418">
        <v>2526.5</v>
      </c>
      <c r="I418">
        <v>1801.47</v>
      </c>
      <c r="J418">
        <v>7500.2</v>
      </c>
      <c r="K418">
        <v>33399.47</v>
      </c>
      <c r="L418">
        <v>0</v>
      </c>
      <c r="M418">
        <v>1908.44</v>
      </c>
      <c r="N418">
        <v>0</v>
      </c>
      <c r="O418">
        <v>587.16999999999996</v>
      </c>
      <c r="P418">
        <v>2495.61</v>
      </c>
      <c r="Q418">
        <v>0</v>
      </c>
      <c r="R418">
        <v>208.79</v>
      </c>
      <c r="S418">
        <v>870.39</v>
      </c>
      <c r="T418">
        <v>6779.52</v>
      </c>
      <c r="U418">
        <v>0</v>
      </c>
      <c r="V418">
        <v>0</v>
      </c>
      <c r="W418">
        <v>3903.5</v>
      </c>
      <c r="X418">
        <v>11762.2</v>
      </c>
      <c r="Y418">
        <v>0</v>
      </c>
      <c r="Z418">
        <v>17022.810000000001</v>
      </c>
      <c r="AA418">
        <v>106.25</v>
      </c>
      <c r="AB418">
        <v>0</v>
      </c>
      <c r="AC418">
        <v>915.86</v>
      </c>
      <c r="AD418">
        <v>0</v>
      </c>
      <c r="AE418">
        <v>65702.210000000006</v>
      </c>
      <c r="AF418">
        <v>20500</v>
      </c>
      <c r="AG418" t="s">
        <v>62</v>
      </c>
      <c r="AH418" t="s">
        <v>63</v>
      </c>
      <c r="AI418" t="s">
        <v>62</v>
      </c>
      <c r="AJ418" t="s">
        <v>63</v>
      </c>
      <c r="AK418">
        <v>7041</v>
      </c>
      <c r="AL418" t="s">
        <v>44</v>
      </c>
      <c r="AM418">
        <v>2</v>
      </c>
      <c r="AN418">
        <v>2</v>
      </c>
      <c r="AO418">
        <v>2024</v>
      </c>
      <c r="AP418">
        <v>3</v>
      </c>
    </row>
    <row r="419" spans="1:42" x14ac:dyDescent="0.25">
      <c r="A419">
        <v>0</v>
      </c>
      <c r="B419">
        <v>15412.01</v>
      </c>
      <c r="C419">
        <v>4145.03</v>
      </c>
      <c r="D419">
        <v>669.39</v>
      </c>
      <c r="E419">
        <v>7643.72</v>
      </c>
      <c r="F419">
        <v>27870.14</v>
      </c>
      <c r="G419">
        <v>3417.69</v>
      </c>
      <c r="H419">
        <v>1882.34</v>
      </c>
      <c r="I419">
        <v>1693.48</v>
      </c>
      <c r="J419">
        <v>6993.51</v>
      </c>
      <c r="K419">
        <v>34863.65</v>
      </c>
      <c r="L419">
        <v>0</v>
      </c>
      <c r="M419">
        <v>1465.54</v>
      </c>
      <c r="N419">
        <v>0</v>
      </c>
      <c r="O419">
        <v>643.6</v>
      </c>
      <c r="P419">
        <v>2109.14</v>
      </c>
      <c r="Q419">
        <v>0</v>
      </c>
      <c r="R419">
        <v>221.11</v>
      </c>
      <c r="S419">
        <v>967.09</v>
      </c>
      <c r="T419">
        <v>9583.7099999999991</v>
      </c>
      <c r="U419">
        <v>0</v>
      </c>
      <c r="V419">
        <v>0</v>
      </c>
      <c r="W419">
        <v>3544.76</v>
      </c>
      <c r="X419">
        <v>14316.67</v>
      </c>
      <c r="Y419">
        <v>0</v>
      </c>
      <c r="Z419">
        <v>19130.75</v>
      </c>
      <c r="AA419">
        <v>103.03</v>
      </c>
      <c r="AB419">
        <v>0</v>
      </c>
      <c r="AC419">
        <v>1225.06</v>
      </c>
      <c r="AD419">
        <v>0</v>
      </c>
      <c r="AE419">
        <v>71748.3</v>
      </c>
      <c r="AF419">
        <v>20500</v>
      </c>
      <c r="AG419" t="s">
        <v>62</v>
      </c>
      <c r="AH419" t="s">
        <v>63</v>
      </c>
      <c r="AI419" t="s">
        <v>62</v>
      </c>
      <c r="AJ419" t="s">
        <v>63</v>
      </c>
      <c r="AK419">
        <v>7041</v>
      </c>
      <c r="AL419" t="s">
        <v>44</v>
      </c>
      <c r="AM419">
        <v>2</v>
      </c>
      <c r="AN419">
        <v>2</v>
      </c>
      <c r="AO419">
        <v>2024</v>
      </c>
      <c r="AP419">
        <v>4</v>
      </c>
    </row>
    <row r="420" spans="1:42" x14ac:dyDescent="0.25">
      <c r="A420">
        <v>0</v>
      </c>
      <c r="B420">
        <v>16832.8</v>
      </c>
      <c r="C420">
        <v>4325.1499999999996</v>
      </c>
      <c r="D420">
        <v>917.11</v>
      </c>
      <c r="E420">
        <v>3755.85</v>
      </c>
      <c r="F420">
        <v>25830.9</v>
      </c>
      <c r="G420">
        <v>0</v>
      </c>
      <c r="H420">
        <v>1413.12</v>
      </c>
      <c r="I420">
        <v>759.72</v>
      </c>
      <c r="J420">
        <v>2172.84</v>
      </c>
      <c r="K420">
        <v>28003.74</v>
      </c>
      <c r="L420">
        <v>62987.45</v>
      </c>
      <c r="M420">
        <v>9899.52</v>
      </c>
      <c r="N420">
        <v>1103.22</v>
      </c>
      <c r="O420">
        <v>0</v>
      </c>
      <c r="P420">
        <v>73990.19</v>
      </c>
      <c r="Q420">
        <v>0.67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0.67</v>
      </c>
      <c r="Y420">
        <v>13677.14</v>
      </c>
      <c r="Z420">
        <v>24700.92</v>
      </c>
      <c r="AA420">
        <v>2201.44</v>
      </c>
      <c r="AB420">
        <v>0</v>
      </c>
      <c r="AC420">
        <v>13445.5</v>
      </c>
      <c r="AD420">
        <v>0</v>
      </c>
      <c r="AE420">
        <v>156019.6</v>
      </c>
      <c r="AF420">
        <v>20405</v>
      </c>
      <c r="AG420" t="s">
        <v>58</v>
      </c>
      <c r="AH420" t="s">
        <v>59</v>
      </c>
      <c r="AI420" t="s">
        <v>58</v>
      </c>
      <c r="AJ420" t="s">
        <v>59</v>
      </c>
      <c r="AK420">
        <v>11049</v>
      </c>
      <c r="AL420" t="s">
        <v>47</v>
      </c>
      <c r="AM420">
        <v>2</v>
      </c>
      <c r="AN420">
        <v>2</v>
      </c>
      <c r="AO420">
        <v>2024</v>
      </c>
      <c r="AP420">
        <v>2</v>
      </c>
    </row>
    <row r="421" spans="1:42" x14ac:dyDescent="0.25">
      <c r="A421">
        <v>0</v>
      </c>
      <c r="B421">
        <v>19093.78</v>
      </c>
      <c r="C421">
        <v>5317.93</v>
      </c>
      <c r="D421">
        <v>1029.6400000000001</v>
      </c>
      <c r="E421">
        <v>4813.37</v>
      </c>
      <c r="F421">
        <v>30254.720000000001</v>
      </c>
      <c r="G421">
        <v>0</v>
      </c>
      <c r="H421">
        <v>708.18</v>
      </c>
      <c r="I421">
        <v>637.51</v>
      </c>
      <c r="J421">
        <v>1345.68</v>
      </c>
      <c r="K421">
        <v>31600.400000000001</v>
      </c>
      <c r="L421">
        <v>52354.73</v>
      </c>
      <c r="M421">
        <v>6344.51</v>
      </c>
      <c r="N421">
        <v>1048.8800000000001</v>
      </c>
      <c r="O421">
        <v>0</v>
      </c>
      <c r="P421">
        <v>59748.12</v>
      </c>
      <c r="Q421">
        <v>0.1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0.1</v>
      </c>
      <c r="Y421">
        <v>11526.96</v>
      </c>
      <c r="Z421">
        <v>24794.560000000001</v>
      </c>
      <c r="AA421">
        <v>2774.66</v>
      </c>
      <c r="AB421">
        <v>0</v>
      </c>
      <c r="AC421">
        <v>11032.73</v>
      </c>
      <c r="AD421">
        <v>0</v>
      </c>
      <c r="AE421">
        <v>141477.53</v>
      </c>
      <c r="AF421">
        <v>20405</v>
      </c>
      <c r="AG421" t="s">
        <v>58</v>
      </c>
      <c r="AH421" t="s">
        <v>59</v>
      </c>
      <c r="AI421" t="s">
        <v>58</v>
      </c>
      <c r="AJ421" t="s">
        <v>59</v>
      </c>
      <c r="AK421">
        <v>11049</v>
      </c>
      <c r="AL421" t="s">
        <v>47</v>
      </c>
      <c r="AM421">
        <v>2</v>
      </c>
      <c r="AN421">
        <v>2</v>
      </c>
      <c r="AO421">
        <v>2024</v>
      </c>
      <c r="AP421">
        <v>3</v>
      </c>
    </row>
    <row r="422" spans="1:42" x14ac:dyDescent="0.25">
      <c r="A422">
        <v>0</v>
      </c>
      <c r="B422">
        <v>20272.84</v>
      </c>
      <c r="C422">
        <v>4836.1499999999996</v>
      </c>
      <c r="D422">
        <v>1244.52</v>
      </c>
      <c r="E422">
        <v>5349.65</v>
      </c>
      <c r="F422">
        <v>31703.15</v>
      </c>
      <c r="G422">
        <v>0</v>
      </c>
      <c r="H422">
        <v>2201.16</v>
      </c>
      <c r="I422">
        <v>897.65</v>
      </c>
      <c r="J422">
        <v>3098.8</v>
      </c>
      <c r="K422">
        <v>34801.96</v>
      </c>
      <c r="L422">
        <v>64369.13</v>
      </c>
      <c r="M422">
        <v>14205.57</v>
      </c>
      <c r="N422">
        <v>940.69</v>
      </c>
      <c r="O422">
        <v>0</v>
      </c>
      <c r="P422">
        <v>79515.38</v>
      </c>
      <c r="Q422">
        <v>0.89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0.89</v>
      </c>
      <c r="Y422">
        <v>13121.25</v>
      </c>
      <c r="Z422">
        <v>23194.05</v>
      </c>
      <c r="AA422">
        <v>1964.59</v>
      </c>
      <c r="AB422">
        <v>0</v>
      </c>
      <c r="AC422">
        <v>5592.96</v>
      </c>
      <c r="AD422">
        <v>0</v>
      </c>
      <c r="AE422">
        <v>158191.07</v>
      </c>
      <c r="AF422">
        <v>20405</v>
      </c>
      <c r="AG422" t="s">
        <v>58</v>
      </c>
      <c r="AH422" t="s">
        <v>59</v>
      </c>
      <c r="AI422" t="s">
        <v>58</v>
      </c>
      <c r="AJ422" t="s">
        <v>59</v>
      </c>
      <c r="AK422">
        <v>11049</v>
      </c>
      <c r="AL422" t="s">
        <v>47</v>
      </c>
      <c r="AM422">
        <v>2</v>
      </c>
      <c r="AN422">
        <v>2</v>
      </c>
      <c r="AO422">
        <v>2024</v>
      </c>
      <c r="AP422">
        <v>1</v>
      </c>
    </row>
    <row r="423" spans="1:42" x14ac:dyDescent="0.25">
      <c r="A423">
        <v>0</v>
      </c>
      <c r="B423">
        <v>23644.080000000002</v>
      </c>
      <c r="C423">
        <v>5650.03</v>
      </c>
      <c r="D423">
        <v>1282.19</v>
      </c>
      <c r="E423">
        <v>5640.48</v>
      </c>
      <c r="F423">
        <v>36216.769999999997</v>
      </c>
      <c r="G423">
        <v>0</v>
      </c>
      <c r="H423">
        <v>1608.77</v>
      </c>
      <c r="I423">
        <v>876.39</v>
      </c>
      <c r="J423">
        <v>2485.16</v>
      </c>
      <c r="K423">
        <v>38701.94</v>
      </c>
      <c r="L423">
        <v>67720.89</v>
      </c>
      <c r="M423">
        <v>8920.4</v>
      </c>
      <c r="N423">
        <v>1093.9000000000001</v>
      </c>
      <c r="O423">
        <v>0</v>
      </c>
      <c r="P423">
        <v>77735.19</v>
      </c>
      <c r="Q423">
        <v>2.38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2.38</v>
      </c>
      <c r="Y423">
        <v>12307.99</v>
      </c>
      <c r="Z423">
        <v>26505.85</v>
      </c>
      <c r="AA423">
        <v>3559.21</v>
      </c>
      <c r="AB423">
        <v>0</v>
      </c>
      <c r="AC423">
        <v>22591.74</v>
      </c>
      <c r="AD423">
        <v>0</v>
      </c>
      <c r="AE423">
        <v>181404.29</v>
      </c>
      <c r="AF423">
        <v>20405</v>
      </c>
      <c r="AG423" t="s">
        <v>58</v>
      </c>
      <c r="AH423" t="s">
        <v>59</v>
      </c>
      <c r="AI423" t="s">
        <v>58</v>
      </c>
      <c r="AJ423" t="s">
        <v>59</v>
      </c>
      <c r="AK423">
        <v>11049</v>
      </c>
      <c r="AL423" t="s">
        <v>47</v>
      </c>
      <c r="AM423">
        <v>2</v>
      </c>
      <c r="AN423">
        <v>2</v>
      </c>
      <c r="AO423">
        <v>2024</v>
      </c>
      <c r="AP423">
        <v>4</v>
      </c>
    </row>
    <row r="424" spans="1:42" x14ac:dyDescent="0.25">
      <c r="A424">
        <v>0</v>
      </c>
      <c r="B424">
        <v>32985.17</v>
      </c>
      <c r="C424">
        <v>10656.68</v>
      </c>
      <c r="D424">
        <v>2440.71</v>
      </c>
      <c r="E424">
        <v>4306.3900000000003</v>
      </c>
      <c r="F424">
        <v>50388.95</v>
      </c>
      <c r="G424">
        <v>3789.9</v>
      </c>
      <c r="H424">
        <v>14647.86</v>
      </c>
      <c r="I424">
        <v>1318.38</v>
      </c>
      <c r="J424">
        <v>19756.14</v>
      </c>
      <c r="K424">
        <v>70145.09</v>
      </c>
      <c r="L424">
        <v>111130.34</v>
      </c>
      <c r="M424">
        <v>21275.08</v>
      </c>
      <c r="N424">
        <v>0</v>
      </c>
      <c r="O424">
        <v>1419.5</v>
      </c>
      <c r="P424">
        <v>133824.92000000001</v>
      </c>
      <c r="Q424">
        <v>1.41</v>
      </c>
      <c r="R424">
        <v>3818.14</v>
      </c>
      <c r="S424">
        <v>996.58</v>
      </c>
      <c r="T424">
        <v>6639.25</v>
      </c>
      <c r="U424">
        <v>0</v>
      </c>
      <c r="V424">
        <v>68.13</v>
      </c>
      <c r="W424">
        <v>4226.03</v>
      </c>
      <c r="X424">
        <v>15749.54</v>
      </c>
      <c r="Y424">
        <v>7794.48</v>
      </c>
      <c r="Z424">
        <v>11544.85</v>
      </c>
      <c r="AA424">
        <v>12540.46</v>
      </c>
      <c r="AB424">
        <v>128.18</v>
      </c>
      <c r="AC424">
        <v>9251.2199999999993</v>
      </c>
      <c r="AD424">
        <v>0</v>
      </c>
      <c r="AE424">
        <v>260978.73</v>
      </c>
      <c r="AF424">
        <v>19917</v>
      </c>
      <c r="AG424" t="s">
        <v>60</v>
      </c>
      <c r="AH424" t="s">
        <v>61</v>
      </c>
      <c r="AI424" t="s">
        <v>60</v>
      </c>
      <c r="AJ424" t="s">
        <v>61</v>
      </c>
      <c r="AK424">
        <v>16911</v>
      </c>
      <c r="AL424" t="s">
        <v>53</v>
      </c>
      <c r="AM424">
        <v>3</v>
      </c>
      <c r="AN424">
        <v>3</v>
      </c>
      <c r="AO424">
        <v>2024</v>
      </c>
      <c r="AP424">
        <v>4</v>
      </c>
    </row>
    <row r="425" spans="1:42" x14ac:dyDescent="0.25">
      <c r="A425">
        <v>0</v>
      </c>
      <c r="B425">
        <v>34328.75</v>
      </c>
      <c r="C425">
        <v>11052.02</v>
      </c>
      <c r="D425">
        <v>2363.7600000000002</v>
      </c>
      <c r="E425">
        <v>4647.8900000000003</v>
      </c>
      <c r="F425">
        <v>52392.42</v>
      </c>
      <c r="G425">
        <v>3535</v>
      </c>
      <c r="H425">
        <v>18001.73</v>
      </c>
      <c r="I425">
        <v>1968.25</v>
      </c>
      <c r="J425">
        <v>23504.99</v>
      </c>
      <c r="K425">
        <v>75897.41</v>
      </c>
      <c r="L425">
        <v>108500.31</v>
      </c>
      <c r="M425">
        <v>18572.02</v>
      </c>
      <c r="N425">
        <v>0</v>
      </c>
      <c r="O425">
        <v>569.91999999999996</v>
      </c>
      <c r="P425">
        <v>127642.25</v>
      </c>
      <c r="Q425">
        <v>2.69</v>
      </c>
      <c r="R425">
        <v>4153.45</v>
      </c>
      <c r="S425">
        <v>1010.27</v>
      </c>
      <c r="T425">
        <v>6362.38</v>
      </c>
      <c r="U425">
        <v>0</v>
      </c>
      <c r="V425">
        <v>68.34</v>
      </c>
      <c r="W425">
        <v>4096.3500000000004</v>
      </c>
      <c r="X425">
        <v>15693.48</v>
      </c>
      <c r="Y425">
        <v>7351.29</v>
      </c>
      <c r="Z425">
        <v>10982.13</v>
      </c>
      <c r="AA425">
        <v>12553.81</v>
      </c>
      <c r="AB425">
        <v>138.03</v>
      </c>
      <c r="AC425">
        <v>8653.42</v>
      </c>
      <c r="AD425">
        <v>0</v>
      </c>
      <c r="AE425">
        <v>258911.82</v>
      </c>
      <c r="AF425">
        <v>19917</v>
      </c>
      <c r="AG425" t="s">
        <v>60</v>
      </c>
      <c r="AH425" t="s">
        <v>61</v>
      </c>
      <c r="AI425" t="s">
        <v>60</v>
      </c>
      <c r="AJ425" t="s">
        <v>61</v>
      </c>
      <c r="AK425">
        <v>16911</v>
      </c>
      <c r="AL425" t="s">
        <v>53</v>
      </c>
      <c r="AM425">
        <v>3</v>
      </c>
      <c r="AN425">
        <v>3</v>
      </c>
      <c r="AO425">
        <v>2024</v>
      </c>
      <c r="AP425">
        <v>3</v>
      </c>
    </row>
    <row r="426" spans="1:42" x14ac:dyDescent="0.25">
      <c r="A426">
        <v>0</v>
      </c>
      <c r="B426">
        <v>35801.03</v>
      </c>
      <c r="C426">
        <v>11206</v>
      </c>
      <c r="D426">
        <v>2871.71</v>
      </c>
      <c r="E426">
        <v>4186.3500000000004</v>
      </c>
      <c r="F426">
        <v>54065.09</v>
      </c>
      <c r="G426">
        <v>3577.59</v>
      </c>
      <c r="H426">
        <v>20010.86</v>
      </c>
      <c r="I426">
        <v>2948.48</v>
      </c>
      <c r="J426">
        <v>26536.94</v>
      </c>
      <c r="K426">
        <v>80602.02</v>
      </c>
      <c r="L426">
        <v>113844.26</v>
      </c>
      <c r="M426">
        <v>26804.29</v>
      </c>
      <c r="N426">
        <v>0</v>
      </c>
      <c r="O426">
        <v>608.80999999999995</v>
      </c>
      <c r="P426">
        <v>141257.35999999999</v>
      </c>
      <c r="Q426">
        <v>0.52</v>
      </c>
      <c r="R426">
        <v>4042.57</v>
      </c>
      <c r="S426">
        <v>926.75</v>
      </c>
      <c r="T426">
        <v>6765.73</v>
      </c>
      <c r="U426">
        <v>0</v>
      </c>
      <c r="V426">
        <v>66.63</v>
      </c>
      <c r="W426">
        <v>4421.1499999999996</v>
      </c>
      <c r="X426">
        <v>16223.34</v>
      </c>
      <c r="Y426">
        <v>6794.25</v>
      </c>
      <c r="Z426">
        <v>10319.290000000001</v>
      </c>
      <c r="AA426">
        <v>12407.67</v>
      </c>
      <c r="AB426">
        <v>147.63999999999999</v>
      </c>
      <c r="AC426">
        <v>9835.31</v>
      </c>
      <c r="AD426">
        <v>0</v>
      </c>
      <c r="AE426">
        <v>277586.89</v>
      </c>
      <c r="AF426">
        <v>19917</v>
      </c>
      <c r="AG426" t="s">
        <v>60</v>
      </c>
      <c r="AH426" t="s">
        <v>61</v>
      </c>
      <c r="AI426" t="s">
        <v>60</v>
      </c>
      <c r="AJ426" t="s">
        <v>61</v>
      </c>
      <c r="AK426">
        <v>16911</v>
      </c>
      <c r="AL426" t="s">
        <v>53</v>
      </c>
      <c r="AM426">
        <v>3</v>
      </c>
      <c r="AN426">
        <v>3</v>
      </c>
      <c r="AO426">
        <v>2024</v>
      </c>
      <c r="AP426">
        <v>2</v>
      </c>
    </row>
    <row r="427" spans="1:42" x14ac:dyDescent="0.25">
      <c r="A427">
        <v>0</v>
      </c>
      <c r="B427">
        <v>37891.24</v>
      </c>
      <c r="C427">
        <v>11177.32</v>
      </c>
      <c r="D427">
        <v>2654.95</v>
      </c>
      <c r="E427">
        <v>3986.46</v>
      </c>
      <c r="F427">
        <v>55709.97</v>
      </c>
      <c r="G427">
        <v>3237.3</v>
      </c>
      <c r="H427">
        <v>22235.61</v>
      </c>
      <c r="I427">
        <v>5213.78</v>
      </c>
      <c r="J427">
        <v>30686.69</v>
      </c>
      <c r="K427">
        <v>86396.66</v>
      </c>
      <c r="L427">
        <v>113894.66</v>
      </c>
      <c r="M427">
        <v>25076.2</v>
      </c>
      <c r="N427">
        <v>0</v>
      </c>
      <c r="O427">
        <v>2126.42</v>
      </c>
      <c r="P427">
        <v>141097.28</v>
      </c>
      <c r="Q427">
        <v>3.46</v>
      </c>
      <c r="R427">
        <v>4382.62</v>
      </c>
      <c r="S427">
        <v>1261.4100000000001</v>
      </c>
      <c r="T427">
        <v>7433.71</v>
      </c>
      <c r="U427">
        <v>0</v>
      </c>
      <c r="V427">
        <v>61.24</v>
      </c>
      <c r="W427">
        <v>4847.75</v>
      </c>
      <c r="X427">
        <v>17990.189999999999</v>
      </c>
      <c r="Y427">
        <v>7501.53</v>
      </c>
      <c r="Z427">
        <v>11953.29</v>
      </c>
      <c r="AA427">
        <v>12894.26</v>
      </c>
      <c r="AB427">
        <v>154.76</v>
      </c>
      <c r="AC427">
        <v>10850.02</v>
      </c>
      <c r="AD427">
        <v>0</v>
      </c>
      <c r="AE427">
        <v>288837.98</v>
      </c>
      <c r="AF427">
        <v>19917</v>
      </c>
      <c r="AG427" t="s">
        <v>60</v>
      </c>
      <c r="AH427" t="s">
        <v>61</v>
      </c>
      <c r="AI427" t="s">
        <v>60</v>
      </c>
      <c r="AJ427" t="s">
        <v>61</v>
      </c>
      <c r="AK427">
        <v>16911</v>
      </c>
      <c r="AL427" t="s">
        <v>53</v>
      </c>
      <c r="AM427">
        <v>3</v>
      </c>
      <c r="AN427">
        <v>3</v>
      </c>
      <c r="AO427">
        <v>2024</v>
      </c>
      <c r="AP427">
        <v>1</v>
      </c>
    </row>
    <row r="428" spans="1:42" x14ac:dyDescent="0.25">
      <c r="A428">
        <v>0</v>
      </c>
      <c r="B428">
        <v>46703.26</v>
      </c>
      <c r="C428">
        <v>15088.65</v>
      </c>
      <c r="D428">
        <v>3455.77</v>
      </c>
      <c r="E428">
        <v>6097.36</v>
      </c>
      <c r="F428">
        <v>71345.039999999994</v>
      </c>
      <c r="G428">
        <v>5366.07</v>
      </c>
      <c r="H428">
        <v>20739.71</v>
      </c>
      <c r="I428">
        <v>1866.68</v>
      </c>
      <c r="J428">
        <v>27972.45</v>
      </c>
      <c r="K428">
        <v>99317.48</v>
      </c>
      <c r="L428">
        <v>179714.74</v>
      </c>
      <c r="M428">
        <v>34095.870000000003</v>
      </c>
      <c r="N428">
        <v>0</v>
      </c>
      <c r="O428">
        <v>2009.85</v>
      </c>
      <c r="P428">
        <v>215820.46</v>
      </c>
      <c r="Q428">
        <v>2</v>
      </c>
      <c r="R428">
        <v>5406.05</v>
      </c>
      <c r="S428">
        <v>1511.72</v>
      </c>
      <c r="T428">
        <v>10156.91</v>
      </c>
      <c r="U428">
        <v>0</v>
      </c>
      <c r="V428">
        <v>96.47</v>
      </c>
      <c r="W428">
        <v>5983.57</v>
      </c>
      <c r="X428">
        <v>23156.720000000001</v>
      </c>
      <c r="Y428">
        <v>11036.09</v>
      </c>
      <c r="Z428">
        <v>17733.79</v>
      </c>
      <c r="AA428">
        <v>19328.419999999998</v>
      </c>
      <c r="AB428">
        <v>181.49</v>
      </c>
      <c r="AC428">
        <v>12806.11</v>
      </c>
      <c r="AD428">
        <v>0</v>
      </c>
      <c r="AE428">
        <v>399380.56</v>
      </c>
      <c r="AF428">
        <v>19917</v>
      </c>
      <c r="AG428" t="s">
        <v>60</v>
      </c>
      <c r="AH428" t="s">
        <v>61</v>
      </c>
      <c r="AI428" t="s">
        <v>60</v>
      </c>
      <c r="AJ428" t="s">
        <v>61</v>
      </c>
      <c r="AK428">
        <v>16913</v>
      </c>
      <c r="AL428" t="s">
        <v>64</v>
      </c>
      <c r="AM428">
        <v>3</v>
      </c>
      <c r="AN428">
        <v>3</v>
      </c>
      <c r="AO428">
        <v>2024</v>
      </c>
      <c r="AP428">
        <v>4</v>
      </c>
    </row>
    <row r="429" spans="1:42" x14ac:dyDescent="0.25">
      <c r="A429">
        <v>0</v>
      </c>
      <c r="B429">
        <v>47783.55</v>
      </c>
      <c r="C429">
        <v>14095.4</v>
      </c>
      <c r="D429">
        <v>3348.08</v>
      </c>
      <c r="E429">
        <v>5027.21</v>
      </c>
      <c r="F429">
        <v>70254.23</v>
      </c>
      <c r="G429">
        <v>4082.47</v>
      </c>
      <c r="H429">
        <v>28040.68</v>
      </c>
      <c r="I429">
        <v>6574.94</v>
      </c>
      <c r="J429">
        <v>38698.089999999997</v>
      </c>
      <c r="K429">
        <v>108952.33</v>
      </c>
      <c r="L429">
        <v>168575.71</v>
      </c>
      <c r="M429">
        <v>31467.27</v>
      </c>
      <c r="N429">
        <v>0</v>
      </c>
      <c r="O429">
        <v>2681.56</v>
      </c>
      <c r="P429">
        <v>202724.54</v>
      </c>
      <c r="Q429">
        <v>4.3600000000000003</v>
      </c>
      <c r="R429">
        <v>5526.8</v>
      </c>
      <c r="S429">
        <v>1589.1</v>
      </c>
      <c r="T429">
        <v>9949.2000000000007</v>
      </c>
      <c r="U429">
        <v>0</v>
      </c>
      <c r="V429">
        <v>77.22</v>
      </c>
      <c r="W429">
        <v>6113.36</v>
      </c>
      <c r="X429">
        <v>23260.04</v>
      </c>
      <c r="Y429">
        <v>9459.9599999999991</v>
      </c>
      <c r="Z429">
        <v>16347.31</v>
      </c>
      <c r="AA429">
        <v>18010.05</v>
      </c>
      <c r="AB429">
        <v>195.16</v>
      </c>
      <c r="AC429">
        <v>13439.79</v>
      </c>
      <c r="AD429">
        <v>0</v>
      </c>
      <c r="AE429">
        <v>392389.19</v>
      </c>
      <c r="AF429">
        <v>19917</v>
      </c>
      <c r="AG429" t="s">
        <v>60</v>
      </c>
      <c r="AH429" t="s">
        <v>61</v>
      </c>
      <c r="AI429" t="s">
        <v>60</v>
      </c>
      <c r="AJ429" t="s">
        <v>61</v>
      </c>
      <c r="AK429">
        <v>16913</v>
      </c>
      <c r="AL429" t="s">
        <v>64</v>
      </c>
      <c r="AM429">
        <v>3</v>
      </c>
      <c r="AN429">
        <v>3</v>
      </c>
      <c r="AO429">
        <v>2024</v>
      </c>
      <c r="AP429">
        <v>1</v>
      </c>
    </row>
    <row r="430" spans="1:42" x14ac:dyDescent="0.25">
      <c r="A430">
        <v>0</v>
      </c>
      <c r="B430">
        <v>51194.400000000001</v>
      </c>
      <c r="C430">
        <v>16481.86</v>
      </c>
      <c r="D430">
        <v>3525.07</v>
      </c>
      <c r="E430">
        <v>6931.39</v>
      </c>
      <c r="F430">
        <v>78132.73</v>
      </c>
      <c r="G430">
        <v>5271.75</v>
      </c>
      <c r="H430">
        <v>26845.96</v>
      </c>
      <c r="I430">
        <v>2935.25</v>
      </c>
      <c r="J430">
        <v>35052.949999999997</v>
      </c>
      <c r="K430">
        <v>113185.68</v>
      </c>
      <c r="L430">
        <v>190181.56</v>
      </c>
      <c r="M430">
        <v>31391.66</v>
      </c>
      <c r="N430">
        <v>0</v>
      </c>
      <c r="O430">
        <v>849.92</v>
      </c>
      <c r="P430">
        <v>222423.14</v>
      </c>
      <c r="Q430">
        <v>4.0199999999999996</v>
      </c>
      <c r="R430">
        <v>6194.03</v>
      </c>
      <c r="S430">
        <v>1630.58</v>
      </c>
      <c r="T430">
        <v>8720.76</v>
      </c>
      <c r="U430">
        <v>0</v>
      </c>
      <c r="V430">
        <v>101.92</v>
      </c>
      <c r="W430">
        <v>6108.89</v>
      </c>
      <c r="X430">
        <v>22760.18</v>
      </c>
      <c r="Y430">
        <v>10962.97</v>
      </c>
      <c r="Z430">
        <v>18171.53</v>
      </c>
      <c r="AA430">
        <v>19970.22</v>
      </c>
      <c r="AB430">
        <v>205.85</v>
      </c>
      <c r="AC430">
        <v>12538.27</v>
      </c>
      <c r="AD430">
        <v>0</v>
      </c>
      <c r="AE430">
        <v>420217.85</v>
      </c>
      <c r="AF430">
        <v>19917</v>
      </c>
      <c r="AG430" t="s">
        <v>60</v>
      </c>
      <c r="AH430" t="s">
        <v>61</v>
      </c>
      <c r="AI430" t="s">
        <v>60</v>
      </c>
      <c r="AJ430" t="s">
        <v>61</v>
      </c>
      <c r="AK430">
        <v>16913</v>
      </c>
      <c r="AL430" t="s">
        <v>64</v>
      </c>
      <c r="AM430">
        <v>3</v>
      </c>
      <c r="AN430">
        <v>3</v>
      </c>
      <c r="AO430">
        <v>2024</v>
      </c>
      <c r="AP430">
        <v>3</v>
      </c>
    </row>
    <row r="431" spans="1:42" x14ac:dyDescent="0.25">
      <c r="A431">
        <v>0</v>
      </c>
      <c r="B431">
        <v>51431.93</v>
      </c>
      <c r="C431">
        <v>16098.59</v>
      </c>
      <c r="D431">
        <v>4125.51</v>
      </c>
      <c r="E431">
        <v>6014.13</v>
      </c>
      <c r="F431">
        <v>77670.16</v>
      </c>
      <c r="G431">
        <v>5139.59</v>
      </c>
      <c r="H431">
        <v>28747.7</v>
      </c>
      <c r="I431">
        <v>4235.8</v>
      </c>
      <c r="J431">
        <v>38123.089999999997</v>
      </c>
      <c r="K431">
        <v>115793.24</v>
      </c>
      <c r="L431">
        <v>193321.22</v>
      </c>
      <c r="M431">
        <v>37886.65</v>
      </c>
      <c r="N431">
        <v>0</v>
      </c>
      <c r="O431">
        <v>874.62</v>
      </c>
      <c r="P431">
        <v>232082.49</v>
      </c>
      <c r="Q431">
        <v>0.75</v>
      </c>
      <c r="R431">
        <v>5807.57</v>
      </c>
      <c r="S431">
        <v>1453.3</v>
      </c>
      <c r="T431">
        <v>9160.6200000000008</v>
      </c>
      <c r="U431">
        <v>0</v>
      </c>
      <c r="V431">
        <v>95.72</v>
      </c>
      <c r="W431">
        <v>6351.44</v>
      </c>
      <c r="X431">
        <v>22869.4</v>
      </c>
      <c r="Y431">
        <v>9760.66</v>
      </c>
      <c r="Z431">
        <v>16730.98</v>
      </c>
      <c r="AA431">
        <v>19579.099999999999</v>
      </c>
      <c r="AB431">
        <v>212.11</v>
      </c>
      <c r="AC431">
        <v>13798.29</v>
      </c>
      <c r="AD431">
        <v>0</v>
      </c>
      <c r="AE431">
        <v>430826.25</v>
      </c>
      <c r="AF431">
        <v>19917</v>
      </c>
      <c r="AG431" t="s">
        <v>60</v>
      </c>
      <c r="AH431" t="s">
        <v>61</v>
      </c>
      <c r="AI431" t="s">
        <v>60</v>
      </c>
      <c r="AJ431" t="s">
        <v>61</v>
      </c>
      <c r="AK431">
        <v>16913</v>
      </c>
      <c r="AL431" t="s">
        <v>64</v>
      </c>
      <c r="AM431">
        <v>3</v>
      </c>
      <c r="AN431">
        <v>3</v>
      </c>
      <c r="AO431">
        <v>2024</v>
      </c>
      <c r="AP431">
        <v>2</v>
      </c>
    </row>
    <row r="432" spans="1:42" x14ac:dyDescent="0.25">
      <c r="A432">
        <v>0</v>
      </c>
      <c r="B432">
        <v>158970.04</v>
      </c>
      <c r="C432">
        <v>49758.84</v>
      </c>
      <c r="D432">
        <v>12751.46</v>
      </c>
      <c r="E432">
        <v>18588.97</v>
      </c>
      <c r="F432">
        <v>240069.31</v>
      </c>
      <c r="G432">
        <v>15885.86</v>
      </c>
      <c r="H432">
        <v>88855.74</v>
      </c>
      <c r="I432">
        <v>13092.36</v>
      </c>
      <c r="J432">
        <v>117833.97</v>
      </c>
      <c r="K432">
        <v>357903.27</v>
      </c>
      <c r="L432">
        <v>405164.34</v>
      </c>
      <c r="M432">
        <v>169763.54</v>
      </c>
      <c r="N432">
        <v>0</v>
      </c>
      <c r="O432">
        <v>2703.35</v>
      </c>
      <c r="P432">
        <v>577631.23</v>
      </c>
      <c r="Q432">
        <v>2.33</v>
      </c>
      <c r="R432">
        <v>17950.53</v>
      </c>
      <c r="S432">
        <v>3687.3</v>
      </c>
      <c r="T432">
        <v>60879.57</v>
      </c>
      <c r="U432">
        <v>0</v>
      </c>
      <c r="V432">
        <v>295.83999999999997</v>
      </c>
      <c r="W432">
        <v>19631.55</v>
      </c>
      <c r="X432">
        <v>102447.12</v>
      </c>
      <c r="Y432">
        <v>30169.040000000001</v>
      </c>
      <c r="Z432">
        <v>22218.85</v>
      </c>
      <c r="AA432">
        <v>83469.039999999994</v>
      </c>
      <c r="AB432">
        <v>655.6</v>
      </c>
      <c r="AC432">
        <v>48157.02</v>
      </c>
      <c r="AD432">
        <v>0</v>
      </c>
      <c r="AE432">
        <v>1222651.1599999999</v>
      </c>
      <c r="AF432">
        <v>19917</v>
      </c>
      <c r="AG432" t="s">
        <v>60</v>
      </c>
      <c r="AH432" t="s">
        <v>61</v>
      </c>
      <c r="AI432" t="s">
        <v>60</v>
      </c>
      <c r="AJ432" t="s">
        <v>61</v>
      </c>
      <c r="AK432">
        <v>6910</v>
      </c>
      <c r="AL432" t="s">
        <v>44</v>
      </c>
      <c r="AM432">
        <v>3</v>
      </c>
      <c r="AN432">
        <v>3</v>
      </c>
      <c r="AO432">
        <v>2024</v>
      </c>
      <c r="AP432">
        <v>2</v>
      </c>
    </row>
    <row r="433" spans="1:42" x14ac:dyDescent="0.25">
      <c r="A433">
        <v>0</v>
      </c>
      <c r="B433">
        <v>159055.54</v>
      </c>
      <c r="C433">
        <v>46918.89</v>
      </c>
      <c r="D433">
        <v>11144.65</v>
      </c>
      <c r="E433">
        <v>16733.91</v>
      </c>
      <c r="F433">
        <v>233852.99</v>
      </c>
      <c r="G433">
        <v>13589.18</v>
      </c>
      <c r="H433">
        <v>93338.12</v>
      </c>
      <c r="I433">
        <v>21885.8</v>
      </c>
      <c r="J433">
        <v>128813.09</v>
      </c>
      <c r="K433">
        <v>362666.09</v>
      </c>
      <c r="L433">
        <v>355735.27</v>
      </c>
      <c r="M433">
        <v>158572.09</v>
      </c>
      <c r="N433">
        <v>0</v>
      </c>
      <c r="O433">
        <v>8926.0400000000009</v>
      </c>
      <c r="P433">
        <v>523233.39</v>
      </c>
      <c r="Q433">
        <v>14.51</v>
      </c>
      <c r="R433">
        <v>18396.88</v>
      </c>
      <c r="S433">
        <v>3953.13</v>
      </c>
      <c r="T433">
        <v>65457</v>
      </c>
      <c r="U433">
        <v>0</v>
      </c>
      <c r="V433">
        <v>257.05</v>
      </c>
      <c r="W433">
        <v>20349.34</v>
      </c>
      <c r="X433">
        <v>108427.92</v>
      </c>
      <c r="Y433">
        <v>31489.07</v>
      </c>
      <c r="Z433">
        <v>25277.67</v>
      </c>
      <c r="AA433">
        <v>87620.86</v>
      </c>
      <c r="AB433">
        <v>649.64</v>
      </c>
      <c r="AC433">
        <v>49753.84</v>
      </c>
      <c r="AD433">
        <v>0</v>
      </c>
      <c r="AE433">
        <v>1189118.47</v>
      </c>
      <c r="AF433">
        <v>19917</v>
      </c>
      <c r="AG433" t="s">
        <v>60</v>
      </c>
      <c r="AH433" t="s">
        <v>61</v>
      </c>
      <c r="AI433" t="s">
        <v>60</v>
      </c>
      <c r="AJ433" t="s">
        <v>61</v>
      </c>
      <c r="AK433">
        <v>6910</v>
      </c>
      <c r="AL433" t="s">
        <v>44</v>
      </c>
      <c r="AM433">
        <v>3</v>
      </c>
      <c r="AN433">
        <v>3</v>
      </c>
      <c r="AO433">
        <v>2024</v>
      </c>
      <c r="AP433">
        <v>1</v>
      </c>
    </row>
    <row r="434" spans="1:42" x14ac:dyDescent="0.25">
      <c r="A434">
        <v>0</v>
      </c>
      <c r="B434">
        <v>171953.92000000001</v>
      </c>
      <c r="C434">
        <v>55359.97</v>
      </c>
      <c r="D434">
        <v>11840.17</v>
      </c>
      <c r="E434">
        <v>23281.45</v>
      </c>
      <c r="F434">
        <v>262435.5</v>
      </c>
      <c r="G434">
        <v>17706.96</v>
      </c>
      <c r="H434">
        <v>90171.33</v>
      </c>
      <c r="I434">
        <v>9859.0499999999993</v>
      </c>
      <c r="J434">
        <v>117737.34</v>
      </c>
      <c r="K434">
        <v>380172.84</v>
      </c>
      <c r="L434">
        <v>386602.4</v>
      </c>
      <c r="M434">
        <v>143091.13</v>
      </c>
      <c r="N434">
        <v>0</v>
      </c>
      <c r="O434">
        <v>2854.75</v>
      </c>
      <c r="P434">
        <v>532548.29</v>
      </c>
      <c r="Q434">
        <v>13.49</v>
      </c>
      <c r="R434">
        <v>20804.77</v>
      </c>
      <c r="S434">
        <v>4181.66</v>
      </c>
      <c r="T434">
        <v>61854.51</v>
      </c>
      <c r="U434">
        <v>0</v>
      </c>
      <c r="V434">
        <v>342.32</v>
      </c>
      <c r="W434">
        <v>20518.78</v>
      </c>
      <c r="X434">
        <v>107715.53</v>
      </c>
      <c r="Y434">
        <v>36822.879999999997</v>
      </c>
      <c r="Z434">
        <v>26425.39</v>
      </c>
      <c r="AA434">
        <v>79496.17</v>
      </c>
      <c r="AB434">
        <v>691.42</v>
      </c>
      <c r="AC434">
        <v>47718.06</v>
      </c>
      <c r="AD434">
        <v>0</v>
      </c>
      <c r="AE434">
        <v>1211590.57</v>
      </c>
      <c r="AF434">
        <v>19917</v>
      </c>
      <c r="AG434" t="s">
        <v>60</v>
      </c>
      <c r="AH434" t="s">
        <v>61</v>
      </c>
      <c r="AI434" t="s">
        <v>60</v>
      </c>
      <c r="AJ434" t="s">
        <v>61</v>
      </c>
      <c r="AK434">
        <v>6910</v>
      </c>
      <c r="AL434" t="s">
        <v>44</v>
      </c>
      <c r="AM434">
        <v>3</v>
      </c>
      <c r="AN434">
        <v>3</v>
      </c>
      <c r="AO434">
        <v>2024</v>
      </c>
      <c r="AP434">
        <v>3</v>
      </c>
    </row>
    <row r="435" spans="1:42" x14ac:dyDescent="0.25">
      <c r="A435">
        <v>0</v>
      </c>
      <c r="B435">
        <v>191359.24</v>
      </c>
      <c r="C435">
        <v>61823.34</v>
      </c>
      <c r="D435">
        <v>14159.45</v>
      </c>
      <c r="E435">
        <v>24982.98</v>
      </c>
      <c r="F435">
        <v>292325.02</v>
      </c>
      <c r="G435">
        <v>21986.6</v>
      </c>
      <c r="H435">
        <v>84977.67</v>
      </c>
      <c r="I435">
        <v>7648.42</v>
      </c>
      <c r="J435">
        <v>114612.69</v>
      </c>
      <c r="K435">
        <v>406937.7</v>
      </c>
      <c r="L435">
        <v>440336.17</v>
      </c>
      <c r="M435">
        <v>134202.70000000001</v>
      </c>
      <c r="N435">
        <v>0</v>
      </c>
      <c r="O435">
        <v>8235.06</v>
      </c>
      <c r="P435">
        <v>582773.93000000005</v>
      </c>
      <c r="Q435">
        <v>8.18</v>
      </c>
      <c r="R435">
        <v>22150.45</v>
      </c>
      <c r="S435">
        <v>4109.13</v>
      </c>
      <c r="T435">
        <v>66369.98</v>
      </c>
      <c r="U435">
        <v>0</v>
      </c>
      <c r="V435">
        <v>395.25</v>
      </c>
      <c r="W435">
        <v>24516.75</v>
      </c>
      <c r="X435">
        <v>117549.74</v>
      </c>
      <c r="Y435">
        <v>45218.65</v>
      </c>
      <c r="Z435">
        <v>28486.06</v>
      </c>
      <c r="AA435">
        <v>80331.73</v>
      </c>
      <c r="AB435">
        <v>743.62</v>
      </c>
      <c r="AC435">
        <v>59344.84</v>
      </c>
      <c r="AD435">
        <v>0</v>
      </c>
      <c r="AE435">
        <v>1321386.27</v>
      </c>
      <c r="AF435">
        <v>19917</v>
      </c>
      <c r="AG435" t="s">
        <v>60</v>
      </c>
      <c r="AH435" t="s">
        <v>61</v>
      </c>
      <c r="AI435" t="s">
        <v>60</v>
      </c>
      <c r="AJ435" t="s">
        <v>61</v>
      </c>
      <c r="AK435">
        <v>6910</v>
      </c>
      <c r="AL435" t="s">
        <v>44</v>
      </c>
      <c r="AM435">
        <v>3</v>
      </c>
      <c r="AN435">
        <v>3</v>
      </c>
      <c r="AO435">
        <v>2024</v>
      </c>
      <c r="AP435">
        <v>4</v>
      </c>
    </row>
    <row r="436" spans="1:42" x14ac:dyDescent="0.25">
      <c r="A436">
        <v>0.35</v>
      </c>
      <c r="B436">
        <v>460.49</v>
      </c>
      <c r="C436">
        <v>76.16</v>
      </c>
      <c r="D436">
        <v>14.98</v>
      </c>
      <c r="E436">
        <v>118.65</v>
      </c>
      <c r="F436">
        <v>670.63</v>
      </c>
      <c r="G436">
        <v>100.25</v>
      </c>
      <c r="H436">
        <v>64.09</v>
      </c>
      <c r="I436">
        <v>43.27</v>
      </c>
      <c r="J436">
        <v>207.61</v>
      </c>
      <c r="K436">
        <v>878.24</v>
      </c>
      <c r="L436">
        <v>0</v>
      </c>
      <c r="M436">
        <v>31.09</v>
      </c>
      <c r="N436">
        <v>0</v>
      </c>
      <c r="O436">
        <v>22.04</v>
      </c>
      <c r="P436">
        <v>53.13</v>
      </c>
      <c r="Q436">
        <v>0</v>
      </c>
      <c r="R436">
        <v>0.48</v>
      </c>
      <c r="S436">
        <v>5.14</v>
      </c>
      <c r="T436">
        <v>449.93</v>
      </c>
      <c r="U436">
        <v>0</v>
      </c>
      <c r="V436">
        <v>0</v>
      </c>
      <c r="W436">
        <v>31.5</v>
      </c>
      <c r="X436">
        <v>487.05</v>
      </c>
      <c r="Y436">
        <v>0</v>
      </c>
      <c r="Z436">
        <v>195.65</v>
      </c>
      <c r="AA436">
        <v>41.17</v>
      </c>
      <c r="AB436">
        <v>0</v>
      </c>
      <c r="AC436">
        <v>15.82</v>
      </c>
      <c r="AD436">
        <v>0</v>
      </c>
      <c r="AE436">
        <v>1671.05</v>
      </c>
      <c r="AF436">
        <v>20397</v>
      </c>
      <c r="AG436" t="s">
        <v>65</v>
      </c>
      <c r="AH436" t="s">
        <v>66</v>
      </c>
      <c r="AI436" t="s">
        <v>65</v>
      </c>
      <c r="AJ436" t="s">
        <v>66</v>
      </c>
      <c r="AK436">
        <v>11030</v>
      </c>
      <c r="AL436" t="s">
        <v>50</v>
      </c>
      <c r="AM436">
        <v>2</v>
      </c>
      <c r="AN436">
        <v>2</v>
      </c>
      <c r="AO436">
        <v>2024</v>
      </c>
      <c r="AP436">
        <v>3</v>
      </c>
    </row>
    <row r="437" spans="1:42" x14ac:dyDescent="0.25">
      <c r="A437">
        <v>0.57999999999999996</v>
      </c>
      <c r="B437">
        <v>481.46</v>
      </c>
      <c r="C437">
        <v>88.88</v>
      </c>
      <c r="D437">
        <v>14.48</v>
      </c>
      <c r="E437">
        <v>117.64</v>
      </c>
      <c r="F437">
        <v>703.04</v>
      </c>
      <c r="G437">
        <v>109.77</v>
      </c>
      <c r="H437">
        <v>61.25</v>
      </c>
      <c r="I437">
        <v>50.49</v>
      </c>
      <c r="J437">
        <v>221.51</v>
      </c>
      <c r="K437">
        <v>924.54</v>
      </c>
      <c r="L437">
        <v>0</v>
      </c>
      <c r="M437">
        <v>20.98</v>
      </c>
      <c r="N437">
        <v>0</v>
      </c>
      <c r="O437">
        <v>22.39</v>
      </c>
      <c r="P437">
        <v>43.37</v>
      </c>
      <c r="Q437">
        <v>0</v>
      </c>
      <c r="R437">
        <v>0.46</v>
      </c>
      <c r="S437">
        <v>5.38</v>
      </c>
      <c r="T437">
        <v>527.42999999999995</v>
      </c>
      <c r="U437">
        <v>0</v>
      </c>
      <c r="V437">
        <v>0</v>
      </c>
      <c r="W437">
        <v>34.53</v>
      </c>
      <c r="X437">
        <v>567.79999999999995</v>
      </c>
      <c r="Y437">
        <v>0</v>
      </c>
      <c r="Z437">
        <v>202.62</v>
      </c>
      <c r="AA437">
        <v>43.56</v>
      </c>
      <c r="AB437">
        <v>0</v>
      </c>
      <c r="AC437">
        <v>8.02</v>
      </c>
      <c r="AD437">
        <v>0</v>
      </c>
      <c r="AE437">
        <v>1789.91</v>
      </c>
      <c r="AF437">
        <v>20397</v>
      </c>
      <c r="AG437" t="s">
        <v>65</v>
      </c>
      <c r="AH437" t="s">
        <v>66</v>
      </c>
      <c r="AI437" t="s">
        <v>65</v>
      </c>
      <c r="AJ437" t="s">
        <v>66</v>
      </c>
      <c r="AK437">
        <v>11030</v>
      </c>
      <c r="AL437" t="s">
        <v>50</v>
      </c>
      <c r="AM437">
        <v>2</v>
      </c>
      <c r="AN437">
        <v>2</v>
      </c>
      <c r="AO437">
        <v>2024</v>
      </c>
      <c r="AP437">
        <v>2</v>
      </c>
    </row>
    <row r="438" spans="1:42" x14ac:dyDescent="0.25">
      <c r="A438">
        <v>0.67</v>
      </c>
      <c r="B438">
        <v>290.18</v>
      </c>
      <c r="C438">
        <v>42.26</v>
      </c>
      <c r="D438">
        <v>8.89</v>
      </c>
      <c r="E438">
        <v>57.82</v>
      </c>
      <c r="F438">
        <v>399.82</v>
      </c>
      <c r="G438">
        <v>47.38</v>
      </c>
      <c r="H438">
        <v>42.81</v>
      </c>
      <c r="I438">
        <v>21.65</v>
      </c>
      <c r="J438">
        <v>111.83</v>
      </c>
      <c r="K438">
        <v>511.65</v>
      </c>
      <c r="L438">
        <v>0</v>
      </c>
      <c r="M438">
        <v>16.739999999999998</v>
      </c>
      <c r="N438">
        <v>0</v>
      </c>
      <c r="O438">
        <v>10.92</v>
      </c>
      <c r="P438">
        <v>27.67</v>
      </c>
      <c r="Q438">
        <v>0</v>
      </c>
      <c r="R438">
        <v>0.25</v>
      </c>
      <c r="S438">
        <v>2.95</v>
      </c>
      <c r="T438">
        <v>236.87</v>
      </c>
      <c r="U438">
        <v>0</v>
      </c>
      <c r="V438">
        <v>0</v>
      </c>
      <c r="W438">
        <v>26.53</v>
      </c>
      <c r="X438">
        <v>266.60000000000002</v>
      </c>
      <c r="Y438">
        <v>0</v>
      </c>
      <c r="Z438">
        <v>113.54</v>
      </c>
      <c r="AA438">
        <v>22.88</v>
      </c>
      <c r="AB438">
        <v>0</v>
      </c>
      <c r="AC438">
        <v>8.4700000000000006</v>
      </c>
      <c r="AD438">
        <v>0</v>
      </c>
      <c r="AE438">
        <v>950.81</v>
      </c>
      <c r="AF438">
        <v>20397</v>
      </c>
      <c r="AG438" t="s">
        <v>65</v>
      </c>
      <c r="AH438" t="s">
        <v>66</v>
      </c>
      <c r="AI438" t="s">
        <v>65</v>
      </c>
      <c r="AJ438" t="s">
        <v>66</v>
      </c>
      <c r="AK438">
        <v>11030</v>
      </c>
      <c r="AL438" t="s">
        <v>50</v>
      </c>
      <c r="AM438">
        <v>2</v>
      </c>
      <c r="AN438">
        <v>2</v>
      </c>
      <c r="AO438">
        <v>2024</v>
      </c>
      <c r="AP438">
        <v>4</v>
      </c>
    </row>
    <row r="439" spans="1:42" x14ac:dyDescent="0.25">
      <c r="A439">
        <v>1.22</v>
      </c>
      <c r="B439">
        <v>611.80999999999995</v>
      </c>
      <c r="C439">
        <v>119.14</v>
      </c>
      <c r="D439">
        <v>18.95</v>
      </c>
      <c r="E439">
        <v>165.64</v>
      </c>
      <c r="F439">
        <v>916.76</v>
      </c>
      <c r="G439">
        <v>121.77</v>
      </c>
      <c r="H439">
        <v>91.96</v>
      </c>
      <c r="I439">
        <v>84.33</v>
      </c>
      <c r="J439">
        <v>298.05</v>
      </c>
      <c r="K439">
        <v>1214.81</v>
      </c>
      <c r="L439">
        <v>0</v>
      </c>
      <c r="M439">
        <v>1.62</v>
      </c>
      <c r="N439">
        <v>0</v>
      </c>
      <c r="O439">
        <v>23.56</v>
      </c>
      <c r="P439">
        <v>25.18</v>
      </c>
      <c r="Q439">
        <v>0</v>
      </c>
      <c r="R439">
        <v>0.73</v>
      </c>
      <c r="S439">
        <v>7.36</v>
      </c>
      <c r="T439">
        <v>424.86</v>
      </c>
      <c r="U439">
        <v>0</v>
      </c>
      <c r="V439">
        <v>0</v>
      </c>
      <c r="W439">
        <v>63.38</v>
      </c>
      <c r="X439">
        <v>496.33</v>
      </c>
      <c r="Y439">
        <v>0</v>
      </c>
      <c r="Z439">
        <v>260.92</v>
      </c>
      <c r="AA439">
        <v>56.29</v>
      </c>
      <c r="AB439">
        <v>0</v>
      </c>
      <c r="AC439">
        <v>10.33</v>
      </c>
      <c r="AD439">
        <v>0</v>
      </c>
      <c r="AE439">
        <v>2063.87</v>
      </c>
      <c r="AF439">
        <v>20397</v>
      </c>
      <c r="AG439" t="s">
        <v>65</v>
      </c>
      <c r="AH439" t="s">
        <v>66</v>
      </c>
      <c r="AI439" t="s">
        <v>65</v>
      </c>
      <c r="AJ439" t="s">
        <v>66</v>
      </c>
      <c r="AK439">
        <v>11030</v>
      </c>
      <c r="AL439" t="s">
        <v>50</v>
      </c>
      <c r="AM439">
        <v>2</v>
      </c>
      <c r="AN439">
        <v>2</v>
      </c>
      <c r="AO439">
        <v>2024</v>
      </c>
      <c r="AP439">
        <v>1</v>
      </c>
    </row>
    <row r="440" spans="1:42" x14ac:dyDescent="0.25">
      <c r="A440">
        <v>8.08</v>
      </c>
      <c r="B440">
        <v>0</v>
      </c>
      <c r="C440">
        <v>0.65</v>
      </c>
      <c r="D440">
        <v>2.0099999999999998</v>
      </c>
      <c r="E440">
        <v>46.78</v>
      </c>
      <c r="F440">
        <v>57.51</v>
      </c>
      <c r="G440">
        <v>5.55</v>
      </c>
      <c r="H440">
        <v>4.17</v>
      </c>
      <c r="I440">
        <v>2.0099999999999998</v>
      </c>
      <c r="J440">
        <v>11.73</v>
      </c>
      <c r="K440">
        <v>69.239999999999995</v>
      </c>
      <c r="L440">
        <v>429.4</v>
      </c>
      <c r="M440">
        <v>0.66</v>
      </c>
      <c r="N440">
        <v>0</v>
      </c>
      <c r="O440">
        <v>11.38</v>
      </c>
      <c r="P440">
        <v>441.45</v>
      </c>
      <c r="Q440">
        <v>35.270000000000003</v>
      </c>
      <c r="R440">
        <v>13.73</v>
      </c>
      <c r="S440">
        <v>0</v>
      </c>
      <c r="T440">
        <v>116.62</v>
      </c>
      <c r="U440">
        <v>0</v>
      </c>
      <c r="V440">
        <v>2.2200000000000002</v>
      </c>
      <c r="W440">
        <v>26.64</v>
      </c>
      <c r="X440">
        <v>194.49</v>
      </c>
      <c r="Y440">
        <v>22.04</v>
      </c>
      <c r="Z440">
        <v>1268.17</v>
      </c>
      <c r="AA440">
        <v>5.59</v>
      </c>
      <c r="AB440">
        <v>0</v>
      </c>
      <c r="AC440">
        <v>3.53</v>
      </c>
      <c r="AD440">
        <v>53.79</v>
      </c>
      <c r="AE440">
        <v>2058.3000000000002</v>
      </c>
      <c r="AF440">
        <v>20100</v>
      </c>
      <c r="AG440" t="s">
        <v>51</v>
      </c>
      <c r="AH440" t="s">
        <v>52</v>
      </c>
      <c r="AI440" t="s">
        <v>51</v>
      </c>
      <c r="AJ440" t="s">
        <v>52</v>
      </c>
      <c r="AK440">
        <v>16757</v>
      </c>
      <c r="AL440" t="s">
        <v>53</v>
      </c>
      <c r="AM440">
        <v>3</v>
      </c>
      <c r="AN440">
        <v>3</v>
      </c>
      <c r="AO440">
        <v>2024</v>
      </c>
      <c r="AP440">
        <v>3</v>
      </c>
    </row>
    <row r="441" spans="1:42" x14ac:dyDescent="0.25">
      <c r="A441">
        <v>10.49</v>
      </c>
      <c r="B441">
        <v>517.12</v>
      </c>
      <c r="C441">
        <v>151.41</v>
      </c>
      <c r="D441">
        <v>69.13</v>
      </c>
      <c r="E441">
        <v>92.14</v>
      </c>
      <c r="F441">
        <v>840.29</v>
      </c>
      <c r="G441">
        <v>517.73</v>
      </c>
      <c r="H441">
        <v>101.24</v>
      </c>
      <c r="I441">
        <v>61.61</v>
      </c>
      <c r="J441">
        <v>680.58</v>
      </c>
      <c r="K441">
        <v>1520.87</v>
      </c>
      <c r="L441">
        <v>1246.8900000000001</v>
      </c>
      <c r="M441">
        <v>14.45</v>
      </c>
      <c r="N441">
        <v>190.72</v>
      </c>
      <c r="O441">
        <v>13.82</v>
      </c>
      <c r="P441">
        <v>1465.88</v>
      </c>
      <c r="Q441">
        <v>0.56999999999999995</v>
      </c>
      <c r="R441">
        <v>15.89</v>
      </c>
      <c r="S441">
        <v>20.22</v>
      </c>
      <c r="T441">
        <v>0</v>
      </c>
      <c r="U441">
        <v>132.11000000000001</v>
      </c>
      <c r="V441">
        <v>0</v>
      </c>
      <c r="W441">
        <v>190.76</v>
      </c>
      <c r="X441">
        <v>359.55</v>
      </c>
      <c r="Y441">
        <v>50.36</v>
      </c>
      <c r="Z441">
        <v>278.3</v>
      </c>
      <c r="AA441">
        <v>284.57</v>
      </c>
      <c r="AB441">
        <v>0</v>
      </c>
      <c r="AC441">
        <v>449.6</v>
      </c>
      <c r="AD441">
        <v>0.15</v>
      </c>
      <c r="AE441">
        <v>4409.2700000000004</v>
      </c>
      <c r="AF441">
        <v>20377</v>
      </c>
      <c r="AG441" t="s">
        <v>69</v>
      </c>
      <c r="AH441" t="s">
        <v>70</v>
      </c>
      <c r="AI441" t="s">
        <v>69</v>
      </c>
      <c r="AJ441" t="s">
        <v>70</v>
      </c>
      <c r="AK441">
        <v>6738</v>
      </c>
      <c r="AL441" t="s">
        <v>44</v>
      </c>
      <c r="AM441">
        <v>2</v>
      </c>
      <c r="AN441">
        <v>2</v>
      </c>
      <c r="AO441">
        <v>2024</v>
      </c>
      <c r="AP441">
        <v>2</v>
      </c>
    </row>
    <row r="442" spans="1:42" x14ac:dyDescent="0.25">
      <c r="A442">
        <v>14.27</v>
      </c>
      <c r="B442">
        <v>0</v>
      </c>
      <c r="C442">
        <v>1.62</v>
      </c>
      <c r="D442">
        <v>4.7699999999999996</v>
      </c>
      <c r="E442">
        <v>112.63</v>
      </c>
      <c r="F442">
        <v>133.29</v>
      </c>
      <c r="G442">
        <v>7.15</v>
      </c>
      <c r="H442">
        <v>15.33</v>
      </c>
      <c r="I442">
        <v>6.44</v>
      </c>
      <c r="J442">
        <v>28.92</v>
      </c>
      <c r="K442">
        <v>162.19999999999999</v>
      </c>
      <c r="L442">
        <v>1020</v>
      </c>
      <c r="M442">
        <v>3.01</v>
      </c>
      <c r="N442">
        <v>0</v>
      </c>
      <c r="O442">
        <v>25.55</v>
      </c>
      <c r="P442">
        <v>1048.56</v>
      </c>
      <c r="Q442">
        <v>83.37</v>
      </c>
      <c r="R442">
        <v>51.77</v>
      </c>
      <c r="S442">
        <v>0</v>
      </c>
      <c r="T442">
        <v>298.64</v>
      </c>
      <c r="U442">
        <v>0</v>
      </c>
      <c r="V442">
        <v>5.97</v>
      </c>
      <c r="W442">
        <v>82.74</v>
      </c>
      <c r="X442">
        <v>522.49</v>
      </c>
      <c r="Y442">
        <v>41.38</v>
      </c>
      <c r="Z442">
        <v>3252.06</v>
      </c>
      <c r="AA442">
        <v>12.05</v>
      </c>
      <c r="AB442">
        <v>0</v>
      </c>
      <c r="AC442">
        <v>10.64</v>
      </c>
      <c r="AD442">
        <v>127.44</v>
      </c>
      <c r="AE442">
        <v>5176.82</v>
      </c>
      <c r="AF442">
        <v>20100</v>
      </c>
      <c r="AG442" t="s">
        <v>51</v>
      </c>
      <c r="AH442" t="s">
        <v>52</v>
      </c>
      <c r="AI442" t="s">
        <v>51</v>
      </c>
      <c r="AJ442" t="s">
        <v>52</v>
      </c>
      <c r="AK442">
        <v>6758</v>
      </c>
      <c r="AL442" t="s">
        <v>44</v>
      </c>
      <c r="AM442">
        <v>3</v>
      </c>
      <c r="AN442">
        <v>3</v>
      </c>
      <c r="AO442">
        <v>2024</v>
      </c>
      <c r="AP442">
        <v>1</v>
      </c>
    </row>
    <row r="443" spans="1:42" x14ac:dyDescent="0.25">
      <c r="A443">
        <v>27</v>
      </c>
      <c r="B443">
        <v>52.55</v>
      </c>
      <c r="C443">
        <v>58.53</v>
      </c>
      <c r="D443">
        <v>45.74</v>
      </c>
      <c r="E443">
        <v>0</v>
      </c>
      <c r="F443">
        <v>183.82</v>
      </c>
      <c r="G443">
        <v>4.0599999999999996</v>
      </c>
      <c r="H443">
        <v>4.3600000000000003</v>
      </c>
      <c r="I443">
        <v>13.63</v>
      </c>
      <c r="J443">
        <v>22.05</v>
      </c>
      <c r="K443">
        <v>205.87</v>
      </c>
      <c r="L443">
        <v>195.07</v>
      </c>
      <c r="M443">
        <v>21.45</v>
      </c>
      <c r="N443">
        <v>6.82</v>
      </c>
      <c r="O443">
        <v>1.67</v>
      </c>
      <c r="P443">
        <v>225.01</v>
      </c>
      <c r="Q443">
        <v>1.1299999999999999</v>
      </c>
      <c r="R443">
        <v>9.39</v>
      </c>
      <c r="S443">
        <v>26.93</v>
      </c>
      <c r="T443">
        <v>0</v>
      </c>
      <c r="U443">
        <v>0</v>
      </c>
      <c r="V443">
        <v>0</v>
      </c>
      <c r="W443">
        <v>147.37</v>
      </c>
      <c r="X443">
        <v>184.82</v>
      </c>
      <c r="Y443">
        <v>8.92</v>
      </c>
      <c r="Z443">
        <v>153.79</v>
      </c>
      <c r="AA443">
        <v>0</v>
      </c>
      <c r="AB443">
        <v>28.35</v>
      </c>
      <c r="AC443">
        <v>252.42</v>
      </c>
      <c r="AD443">
        <v>0</v>
      </c>
      <c r="AE443">
        <v>1059.18</v>
      </c>
      <c r="AF443">
        <v>20310</v>
      </c>
      <c r="AG443" t="s">
        <v>71</v>
      </c>
      <c r="AH443" t="s">
        <v>72</v>
      </c>
      <c r="AI443" t="s">
        <v>71</v>
      </c>
      <c r="AJ443" t="s">
        <v>72</v>
      </c>
      <c r="AK443">
        <v>6076</v>
      </c>
      <c r="AL443" t="s">
        <v>44</v>
      </c>
      <c r="AM443">
        <v>1</v>
      </c>
      <c r="AN443">
        <v>1</v>
      </c>
      <c r="AO443">
        <v>2024</v>
      </c>
      <c r="AP443">
        <v>4</v>
      </c>
    </row>
    <row r="444" spans="1:42" x14ac:dyDescent="0.25">
      <c r="A444">
        <v>30.22</v>
      </c>
      <c r="B444">
        <v>2558.87</v>
      </c>
      <c r="C444">
        <v>934.62</v>
      </c>
      <c r="D444">
        <v>420.34</v>
      </c>
      <c r="E444">
        <v>0</v>
      </c>
      <c r="F444">
        <v>3944.05</v>
      </c>
      <c r="G444">
        <v>76.59</v>
      </c>
      <c r="H444">
        <v>51.99</v>
      </c>
      <c r="I444">
        <v>244.69</v>
      </c>
      <c r="J444">
        <v>373.28</v>
      </c>
      <c r="K444">
        <v>4317.33</v>
      </c>
      <c r="L444">
        <v>1336.41</v>
      </c>
      <c r="M444">
        <v>668.63</v>
      </c>
      <c r="N444">
        <v>0</v>
      </c>
      <c r="O444">
        <v>0</v>
      </c>
      <c r="P444">
        <v>2005.04</v>
      </c>
      <c r="Q444">
        <v>501.46</v>
      </c>
      <c r="R444">
        <v>31.11</v>
      </c>
      <c r="S444">
        <v>232.13</v>
      </c>
      <c r="T444">
        <v>688.18</v>
      </c>
      <c r="U444">
        <v>147.80000000000001</v>
      </c>
      <c r="V444">
        <v>0</v>
      </c>
      <c r="W444">
        <v>168.75</v>
      </c>
      <c r="X444">
        <v>1769.42</v>
      </c>
      <c r="Y444">
        <v>185.13</v>
      </c>
      <c r="Z444">
        <v>1627.62</v>
      </c>
      <c r="AA444">
        <v>129.9</v>
      </c>
      <c r="AB444">
        <v>49.81</v>
      </c>
      <c r="AC444">
        <v>-425.4</v>
      </c>
      <c r="AD444">
        <v>0</v>
      </c>
      <c r="AE444">
        <v>9658.85</v>
      </c>
      <c r="AF444">
        <v>20401</v>
      </c>
      <c r="AG444" t="s">
        <v>79</v>
      </c>
      <c r="AH444" t="s">
        <v>80</v>
      </c>
      <c r="AI444" t="s">
        <v>79</v>
      </c>
      <c r="AJ444" t="s">
        <v>80</v>
      </c>
      <c r="AK444">
        <v>11056</v>
      </c>
      <c r="AL444" t="s">
        <v>47</v>
      </c>
      <c r="AM444">
        <v>2</v>
      </c>
      <c r="AN444">
        <v>2</v>
      </c>
      <c r="AO444">
        <v>2024</v>
      </c>
      <c r="AP444">
        <v>4</v>
      </c>
    </row>
    <row r="445" spans="1:42" x14ac:dyDescent="0.25">
      <c r="A445">
        <v>31.74</v>
      </c>
      <c r="B445">
        <v>1191.6600000000001</v>
      </c>
      <c r="C445">
        <v>559.73</v>
      </c>
      <c r="D445">
        <v>20.18</v>
      </c>
      <c r="E445">
        <v>132.88</v>
      </c>
      <c r="F445">
        <v>1936.17</v>
      </c>
      <c r="G445">
        <v>346.15</v>
      </c>
      <c r="H445">
        <v>525.67999999999995</v>
      </c>
      <c r="I445">
        <v>109.3</v>
      </c>
      <c r="J445">
        <v>981.13</v>
      </c>
      <c r="K445">
        <v>2917.3</v>
      </c>
      <c r="L445">
        <v>2.86</v>
      </c>
      <c r="M445">
        <v>1237.49</v>
      </c>
      <c r="N445">
        <v>0</v>
      </c>
      <c r="O445">
        <v>21.69</v>
      </c>
      <c r="P445">
        <v>1262.04</v>
      </c>
      <c r="Q445">
        <v>0</v>
      </c>
      <c r="R445">
        <v>9.1</v>
      </c>
      <c r="S445">
        <v>60.32</v>
      </c>
      <c r="T445">
        <v>57.9</v>
      </c>
      <c r="U445">
        <v>0</v>
      </c>
      <c r="V445">
        <v>0</v>
      </c>
      <c r="W445">
        <v>569.77</v>
      </c>
      <c r="X445">
        <v>697.09</v>
      </c>
      <c r="Y445">
        <v>1.51</v>
      </c>
      <c r="Z445">
        <v>392.8</v>
      </c>
      <c r="AA445">
        <v>437.51</v>
      </c>
      <c r="AB445">
        <v>0</v>
      </c>
      <c r="AC445">
        <v>24.39</v>
      </c>
      <c r="AD445">
        <v>227.36</v>
      </c>
      <c r="AE445">
        <v>5960</v>
      </c>
      <c r="AF445">
        <v>20453</v>
      </c>
      <c r="AG445" t="s">
        <v>75</v>
      </c>
      <c r="AH445" t="s">
        <v>76</v>
      </c>
      <c r="AI445" t="s">
        <v>75</v>
      </c>
      <c r="AJ445" t="s">
        <v>76</v>
      </c>
      <c r="AK445">
        <v>11009</v>
      </c>
      <c r="AL445" t="s">
        <v>53</v>
      </c>
      <c r="AM445">
        <v>2</v>
      </c>
      <c r="AN445">
        <v>2</v>
      </c>
      <c r="AO445">
        <v>2024</v>
      </c>
      <c r="AP445">
        <v>3</v>
      </c>
    </row>
    <row r="446" spans="1:42" x14ac:dyDescent="0.25">
      <c r="A446">
        <v>33.46</v>
      </c>
      <c r="B446">
        <v>1469.59</v>
      </c>
      <c r="C446">
        <v>502.16</v>
      </c>
      <c r="D446">
        <v>186.64</v>
      </c>
      <c r="E446">
        <v>161.01</v>
      </c>
      <c r="F446">
        <v>2352.85</v>
      </c>
      <c r="G446">
        <v>1277.17</v>
      </c>
      <c r="H446">
        <v>375.94</v>
      </c>
      <c r="I446">
        <v>129.66999999999999</v>
      </c>
      <c r="J446">
        <v>1782.77</v>
      </c>
      <c r="K446">
        <v>4135.62</v>
      </c>
      <c r="L446">
        <v>2226.4899999999998</v>
      </c>
      <c r="M446">
        <v>15.83</v>
      </c>
      <c r="N446">
        <v>466.26</v>
      </c>
      <c r="O446">
        <v>109.07</v>
      </c>
      <c r="P446">
        <v>2817.65</v>
      </c>
      <c r="Q446">
        <v>0.95</v>
      </c>
      <c r="R446">
        <v>13.89</v>
      </c>
      <c r="S446">
        <v>63.45</v>
      </c>
      <c r="T446">
        <v>0</v>
      </c>
      <c r="U446">
        <v>284.5</v>
      </c>
      <c r="V446">
        <v>0</v>
      </c>
      <c r="W446">
        <v>460.17</v>
      </c>
      <c r="X446">
        <v>822.96</v>
      </c>
      <c r="Y446">
        <v>86.31</v>
      </c>
      <c r="Z446">
        <v>1068.0999999999999</v>
      </c>
      <c r="AA446">
        <v>659.86</v>
      </c>
      <c r="AB446">
        <v>645.54999999999995</v>
      </c>
      <c r="AC446">
        <v>1257.93</v>
      </c>
      <c r="AD446">
        <v>0</v>
      </c>
      <c r="AE446">
        <v>11493.97</v>
      </c>
      <c r="AF446">
        <v>20377</v>
      </c>
      <c r="AG446" t="s">
        <v>69</v>
      </c>
      <c r="AH446" t="s">
        <v>70</v>
      </c>
      <c r="AI446" t="s">
        <v>69</v>
      </c>
      <c r="AJ446" t="s">
        <v>70</v>
      </c>
      <c r="AK446">
        <v>6738</v>
      </c>
      <c r="AL446" t="s">
        <v>44</v>
      </c>
      <c r="AM446">
        <v>2</v>
      </c>
      <c r="AN446">
        <v>2</v>
      </c>
      <c r="AO446">
        <v>2024</v>
      </c>
      <c r="AP446">
        <v>4</v>
      </c>
    </row>
    <row r="447" spans="1:42" x14ac:dyDescent="0.25">
      <c r="A447">
        <v>34.92</v>
      </c>
      <c r="B447">
        <v>1435.1</v>
      </c>
      <c r="C447">
        <v>498.02</v>
      </c>
      <c r="D447">
        <v>201.43</v>
      </c>
      <c r="E447">
        <v>273.14999999999998</v>
      </c>
      <c r="F447">
        <v>2442.62</v>
      </c>
      <c r="G447">
        <v>1336.14</v>
      </c>
      <c r="H447">
        <v>327.01</v>
      </c>
      <c r="I447">
        <v>154.12</v>
      </c>
      <c r="J447">
        <v>1817.27</v>
      </c>
      <c r="K447">
        <v>4259.8900000000003</v>
      </c>
      <c r="L447">
        <v>2531.23</v>
      </c>
      <c r="M447">
        <v>9.15</v>
      </c>
      <c r="N447">
        <v>463.65</v>
      </c>
      <c r="O447">
        <v>185.86</v>
      </c>
      <c r="P447">
        <v>3189.89</v>
      </c>
      <c r="Q447">
        <v>0.48</v>
      </c>
      <c r="R447">
        <v>16.329999999999998</v>
      </c>
      <c r="S447">
        <v>76.849999999999994</v>
      </c>
      <c r="T447">
        <v>0</v>
      </c>
      <c r="U447">
        <v>237.47</v>
      </c>
      <c r="V447">
        <v>0</v>
      </c>
      <c r="W447">
        <v>354.06</v>
      </c>
      <c r="X447">
        <v>685.19</v>
      </c>
      <c r="Y447">
        <v>86.24</v>
      </c>
      <c r="Z447">
        <v>1062.01</v>
      </c>
      <c r="AA447">
        <v>625.6</v>
      </c>
      <c r="AB447">
        <v>205.4</v>
      </c>
      <c r="AC447">
        <v>969.86</v>
      </c>
      <c r="AD447">
        <v>0</v>
      </c>
      <c r="AE447">
        <v>11084.07</v>
      </c>
      <c r="AF447">
        <v>20377</v>
      </c>
      <c r="AG447" t="s">
        <v>69</v>
      </c>
      <c r="AH447" t="s">
        <v>70</v>
      </c>
      <c r="AI447" t="s">
        <v>69</v>
      </c>
      <c r="AJ447" t="s">
        <v>70</v>
      </c>
      <c r="AK447">
        <v>6738</v>
      </c>
      <c r="AL447" t="s">
        <v>44</v>
      </c>
      <c r="AM447">
        <v>2</v>
      </c>
      <c r="AN447">
        <v>2</v>
      </c>
      <c r="AO447">
        <v>2024</v>
      </c>
      <c r="AP447">
        <v>3</v>
      </c>
    </row>
    <row r="448" spans="1:42" x14ac:dyDescent="0.25">
      <c r="A448">
        <v>35.93</v>
      </c>
      <c r="B448">
        <v>1299.5899999999999</v>
      </c>
      <c r="C448">
        <v>744.35</v>
      </c>
      <c r="D448">
        <v>25.99</v>
      </c>
      <c r="E448">
        <v>128.19</v>
      </c>
      <c r="F448">
        <v>2234.04</v>
      </c>
      <c r="G448">
        <v>302.08999999999997</v>
      </c>
      <c r="H448">
        <v>558.42999999999995</v>
      </c>
      <c r="I448">
        <v>146.88</v>
      </c>
      <c r="J448">
        <v>1007.39</v>
      </c>
      <c r="K448">
        <v>3241.43</v>
      </c>
      <c r="L448">
        <v>-0.25</v>
      </c>
      <c r="M448">
        <v>1556.15</v>
      </c>
      <c r="N448">
        <v>0</v>
      </c>
      <c r="O448">
        <v>26.46</v>
      </c>
      <c r="P448">
        <v>1582.35</v>
      </c>
      <c r="Q448">
        <v>0</v>
      </c>
      <c r="R448">
        <v>7.95</v>
      </c>
      <c r="S448">
        <v>45.59</v>
      </c>
      <c r="T448">
        <v>96.99</v>
      </c>
      <c r="U448">
        <v>0</v>
      </c>
      <c r="V448">
        <v>0</v>
      </c>
      <c r="W448">
        <v>540.26</v>
      </c>
      <c r="X448">
        <v>690.78</v>
      </c>
      <c r="Y448">
        <v>2.86</v>
      </c>
      <c r="Z448">
        <v>527.5</v>
      </c>
      <c r="AA448">
        <v>522.13</v>
      </c>
      <c r="AB448">
        <v>0</v>
      </c>
      <c r="AC448">
        <v>8.4499999999999993</v>
      </c>
      <c r="AD448">
        <v>207.46</v>
      </c>
      <c r="AE448">
        <v>6782.96</v>
      </c>
      <c r="AF448">
        <v>20453</v>
      </c>
      <c r="AG448" t="s">
        <v>75</v>
      </c>
      <c r="AH448" t="s">
        <v>76</v>
      </c>
      <c r="AI448" t="s">
        <v>75</v>
      </c>
      <c r="AJ448" t="s">
        <v>76</v>
      </c>
      <c r="AK448">
        <v>11009</v>
      </c>
      <c r="AL448" t="s">
        <v>53</v>
      </c>
      <c r="AM448">
        <v>2</v>
      </c>
      <c r="AN448">
        <v>2</v>
      </c>
      <c r="AO448">
        <v>2024</v>
      </c>
      <c r="AP448">
        <v>2</v>
      </c>
    </row>
    <row r="449" spans="1:42" x14ac:dyDescent="0.25">
      <c r="A449">
        <v>37.17</v>
      </c>
      <c r="B449">
        <v>2854.33</v>
      </c>
      <c r="C449">
        <v>1140.95</v>
      </c>
      <c r="D449">
        <v>487.31</v>
      </c>
      <c r="E449">
        <v>0</v>
      </c>
      <c r="F449">
        <v>4519.75</v>
      </c>
      <c r="G449">
        <v>87.67</v>
      </c>
      <c r="H449">
        <v>67.7</v>
      </c>
      <c r="I449">
        <v>334.37</v>
      </c>
      <c r="J449">
        <v>489.74</v>
      </c>
      <c r="K449">
        <v>5009.49</v>
      </c>
      <c r="L449">
        <v>2156.15</v>
      </c>
      <c r="M449">
        <v>460.64</v>
      </c>
      <c r="N449">
        <v>0.01</v>
      </c>
      <c r="O449">
        <v>0</v>
      </c>
      <c r="P449">
        <v>2616.8000000000002</v>
      </c>
      <c r="Q449">
        <v>860.23</v>
      </c>
      <c r="R449">
        <v>15.08</v>
      </c>
      <c r="S449">
        <v>189.69</v>
      </c>
      <c r="T449">
        <v>930.02</v>
      </c>
      <c r="U449">
        <v>211.36</v>
      </c>
      <c r="V449">
        <v>0</v>
      </c>
      <c r="W449">
        <v>313.44</v>
      </c>
      <c r="X449">
        <v>2519.81</v>
      </c>
      <c r="Y449">
        <v>176.07</v>
      </c>
      <c r="Z449">
        <v>1534.72</v>
      </c>
      <c r="AA449">
        <v>178.3</v>
      </c>
      <c r="AB449">
        <v>90.83</v>
      </c>
      <c r="AC449">
        <v>451.63</v>
      </c>
      <c r="AD449">
        <v>0</v>
      </c>
      <c r="AE449">
        <v>12577.64</v>
      </c>
      <c r="AF449">
        <v>20401</v>
      </c>
      <c r="AG449" t="s">
        <v>79</v>
      </c>
      <c r="AH449" t="s">
        <v>80</v>
      </c>
      <c r="AI449" t="s">
        <v>79</v>
      </c>
      <c r="AJ449" t="s">
        <v>80</v>
      </c>
      <c r="AK449">
        <v>11056</v>
      </c>
      <c r="AL449" t="s">
        <v>47</v>
      </c>
      <c r="AM449">
        <v>2</v>
      </c>
      <c r="AN449">
        <v>2</v>
      </c>
      <c r="AO449">
        <v>2024</v>
      </c>
      <c r="AP449">
        <v>2</v>
      </c>
    </row>
    <row r="450" spans="1:42" x14ac:dyDescent="0.25">
      <c r="A450">
        <v>37.68</v>
      </c>
      <c r="B450">
        <v>1204.1500000000001</v>
      </c>
      <c r="C450">
        <v>589.66</v>
      </c>
      <c r="D450">
        <v>24.26</v>
      </c>
      <c r="E450">
        <v>114.88</v>
      </c>
      <c r="F450">
        <v>1970.63</v>
      </c>
      <c r="G450">
        <v>276.99</v>
      </c>
      <c r="H450">
        <v>399.05</v>
      </c>
      <c r="I450">
        <v>147.51</v>
      </c>
      <c r="J450">
        <v>823.54</v>
      </c>
      <c r="K450">
        <v>2794.17</v>
      </c>
      <c r="L450">
        <v>-0.06</v>
      </c>
      <c r="M450">
        <v>1211.2</v>
      </c>
      <c r="N450">
        <v>0</v>
      </c>
      <c r="O450">
        <v>23.49</v>
      </c>
      <c r="P450">
        <v>1234.6300000000001</v>
      </c>
      <c r="Q450">
        <v>0</v>
      </c>
      <c r="R450">
        <v>7.05</v>
      </c>
      <c r="S450">
        <v>37.369999999999997</v>
      </c>
      <c r="T450">
        <v>44.99</v>
      </c>
      <c r="U450">
        <v>0</v>
      </c>
      <c r="V450">
        <v>0</v>
      </c>
      <c r="W450">
        <v>417.93</v>
      </c>
      <c r="X450">
        <v>507.34</v>
      </c>
      <c r="Y450">
        <v>-3.83</v>
      </c>
      <c r="Z450">
        <v>433.48</v>
      </c>
      <c r="AA450">
        <v>394.91</v>
      </c>
      <c r="AB450">
        <v>0</v>
      </c>
      <c r="AC450">
        <v>27.54</v>
      </c>
      <c r="AD450">
        <v>187.55</v>
      </c>
      <c r="AE450">
        <v>5575.8</v>
      </c>
      <c r="AF450">
        <v>20453</v>
      </c>
      <c r="AG450" t="s">
        <v>75</v>
      </c>
      <c r="AH450" t="s">
        <v>76</v>
      </c>
      <c r="AI450" t="s">
        <v>75</v>
      </c>
      <c r="AJ450" t="s">
        <v>76</v>
      </c>
      <c r="AK450">
        <v>11009</v>
      </c>
      <c r="AL450" t="s">
        <v>53</v>
      </c>
      <c r="AM450">
        <v>2</v>
      </c>
      <c r="AN450">
        <v>2</v>
      </c>
      <c r="AO450">
        <v>2024</v>
      </c>
      <c r="AP450">
        <v>1</v>
      </c>
    </row>
    <row r="451" spans="1:42" x14ac:dyDescent="0.25">
      <c r="A451">
        <v>38.03</v>
      </c>
      <c r="B451">
        <v>2656.74</v>
      </c>
      <c r="C451">
        <v>989.52</v>
      </c>
      <c r="D451">
        <v>460.38</v>
      </c>
      <c r="E451">
        <v>0</v>
      </c>
      <c r="F451">
        <v>4144.67</v>
      </c>
      <c r="G451">
        <v>82.63</v>
      </c>
      <c r="H451">
        <v>57.59</v>
      </c>
      <c r="I451">
        <v>272.72000000000003</v>
      </c>
      <c r="J451">
        <v>412.94</v>
      </c>
      <c r="K451">
        <v>4557.6099999999997</v>
      </c>
      <c r="L451">
        <v>1695.22</v>
      </c>
      <c r="M451">
        <v>431.23</v>
      </c>
      <c r="N451">
        <v>0</v>
      </c>
      <c r="O451">
        <v>0</v>
      </c>
      <c r="P451">
        <v>2126.4499999999998</v>
      </c>
      <c r="Q451">
        <v>695.57</v>
      </c>
      <c r="R451">
        <v>16.5</v>
      </c>
      <c r="S451">
        <v>88.87</v>
      </c>
      <c r="T451">
        <v>943.45</v>
      </c>
      <c r="U451">
        <v>140.16</v>
      </c>
      <c r="V451">
        <v>0</v>
      </c>
      <c r="W451">
        <v>183.53</v>
      </c>
      <c r="X451">
        <v>2068.08</v>
      </c>
      <c r="Y451">
        <v>302.26</v>
      </c>
      <c r="Z451">
        <v>1615</v>
      </c>
      <c r="AA451">
        <v>173.9</v>
      </c>
      <c r="AB451">
        <v>72.12</v>
      </c>
      <c r="AC451">
        <v>35.29</v>
      </c>
      <c r="AD451">
        <v>0</v>
      </c>
      <c r="AE451">
        <v>10950.7</v>
      </c>
      <c r="AF451">
        <v>20401</v>
      </c>
      <c r="AG451" t="s">
        <v>79</v>
      </c>
      <c r="AH451" t="s">
        <v>80</v>
      </c>
      <c r="AI451" t="s">
        <v>79</v>
      </c>
      <c r="AJ451" t="s">
        <v>80</v>
      </c>
      <c r="AK451">
        <v>11056</v>
      </c>
      <c r="AL451" t="s">
        <v>47</v>
      </c>
      <c r="AM451">
        <v>2</v>
      </c>
      <c r="AN451">
        <v>2</v>
      </c>
      <c r="AO451">
        <v>2024</v>
      </c>
      <c r="AP451">
        <v>3</v>
      </c>
    </row>
    <row r="452" spans="1:42" x14ac:dyDescent="0.25">
      <c r="A452">
        <v>39.369999999999997</v>
      </c>
      <c r="B452">
        <v>1678.73</v>
      </c>
      <c r="C452">
        <v>680.43</v>
      </c>
      <c r="D452">
        <v>22.17</v>
      </c>
      <c r="E452">
        <v>132.88999999999999</v>
      </c>
      <c r="F452">
        <v>2553.6</v>
      </c>
      <c r="G452">
        <v>493.8</v>
      </c>
      <c r="H452">
        <v>704.54</v>
      </c>
      <c r="I452">
        <v>119.72</v>
      </c>
      <c r="J452">
        <v>1318.05</v>
      </c>
      <c r="K452">
        <v>3871.65</v>
      </c>
      <c r="L452">
        <v>17.059999999999999</v>
      </c>
      <c r="M452">
        <v>1620.24</v>
      </c>
      <c r="N452">
        <v>0</v>
      </c>
      <c r="O452">
        <v>25.07</v>
      </c>
      <c r="P452">
        <v>1662.37</v>
      </c>
      <c r="Q452">
        <v>0.02</v>
      </c>
      <c r="R452">
        <v>8.91</v>
      </c>
      <c r="S452">
        <v>77.63</v>
      </c>
      <c r="T452">
        <v>68.7</v>
      </c>
      <c r="U452">
        <v>0</v>
      </c>
      <c r="V452">
        <v>0</v>
      </c>
      <c r="W452">
        <v>856.98</v>
      </c>
      <c r="X452">
        <v>1012.23</v>
      </c>
      <c r="Y452">
        <v>23.38</v>
      </c>
      <c r="Z452">
        <v>492.38</v>
      </c>
      <c r="AA452">
        <v>549.04</v>
      </c>
      <c r="AB452">
        <v>0</v>
      </c>
      <c r="AC452">
        <v>75.13</v>
      </c>
      <c r="AD452">
        <v>201.24</v>
      </c>
      <c r="AE452">
        <v>7887.42</v>
      </c>
      <c r="AF452">
        <v>20453</v>
      </c>
      <c r="AG452" t="s">
        <v>75</v>
      </c>
      <c r="AH452" t="s">
        <v>76</v>
      </c>
      <c r="AI452" t="s">
        <v>75</v>
      </c>
      <c r="AJ452" t="s">
        <v>76</v>
      </c>
      <c r="AK452">
        <v>11009</v>
      </c>
      <c r="AL452" t="s">
        <v>53</v>
      </c>
      <c r="AM452">
        <v>2</v>
      </c>
      <c r="AN452">
        <v>2</v>
      </c>
      <c r="AO452">
        <v>2024</v>
      </c>
      <c r="AP452">
        <v>4</v>
      </c>
    </row>
    <row r="453" spans="1:42" x14ac:dyDescent="0.25">
      <c r="A453">
        <v>39.9</v>
      </c>
      <c r="B453">
        <v>2734.29</v>
      </c>
      <c r="C453">
        <v>1093.74</v>
      </c>
      <c r="D453">
        <v>460.84</v>
      </c>
      <c r="E453">
        <v>0</v>
      </c>
      <c r="F453">
        <v>4328.7700000000004</v>
      </c>
      <c r="G453">
        <v>84.03</v>
      </c>
      <c r="H453">
        <v>61.39</v>
      </c>
      <c r="I453">
        <v>342.5</v>
      </c>
      <c r="J453">
        <v>487.93</v>
      </c>
      <c r="K453">
        <v>4816.6899999999996</v>
      </c>
      <c r="L453">
        <v>2026.14</v>
      </c>
      <c r="M453">
        <v>547.94000000000005</v>
      </c>
      <c r="N453">
        <v>0</v>
      </c>
      <c r="O453">
        <v>0</v>
      </c>
      <c r="P453">
        <v>2574.08</v>
      </c>
      <c r="Q453">
        <v>722.88</v>
      </c>
      <c r="R453">
        <v>23.29</v>
      </c>
      <c r="S453">
        <v>169.18</v>
      </c>
      <c r="T453">
        <v>732.7</v>
      </c>
      <c r="U453">
        <v>227.44</v>
      </c>
      <c r="V453">
        <v>0</v>
      </c>
      <c r="W453">
        <v>304.72000000000003</v>
      </c>
      <c r="X453">
        <v>2180.1999999999998</v>
      </c>
      <c r="Y453">
        <v>142.22999999999999</v>
      </c>
      <c r="Z453">
        <v>1499.14</v>
      </c>
      <c r="AA453">
        <v>170.12</v>
      </c>
      <c r="AB453">
        <v>98.41</v>
      </c>
      <c r="AC453">
        <v>597.54999999999995</v>
      </c>
      <c r="AD453">
        <v>0</v>
      </c>
      <c r="AE453">
        <v>12078.41</v>
      </c>
      <c r="AF453">
        <v>20401</v>
      </c>
      <c r="AG453" t="s">
        <v>79</v>
      </c>
      <c r="AH453" t="s">
        <v>80</v>
      </c>
      <c r="AI453" t="s">
        <v>79</v>
      </c>
      <c r="AJ453" t="s">
        <v>80</v>
      </c>
      <c r="AK453">
        <v>11056</v>
      </c>
      <c r="AL453" t="s">
        <v>47</v>
      </c>
      <c r="AM453">
        <v>2</v>
      </c>
      <c r="AN453">
        <v>2</v>
      </c>
      <c r="AO453">
        <v>2024</v>
      </c>
      <c r="AP453">
        <v>1</v>
      </c>
    </row>
    <row r="454" spans="1:42" x14ac:dyDescent="0.25">
      <c r="A454">
        <v>45.42</v>
      </c>
      <c r="B454">
        <v>316.16000000000003</v>
      </c>
      <c r="C454">
        <v>86.69</v>
      </c>
      <c r="D454">
        <v>65.14</v>
      </c>
      <c r="E454">
        <v>0</v>
      </c>
      <c r="F454">
        <v>513.41</v>
      </c>
      <c r="G454">
        <v>4.4400000000000004</v>
      </c>
      <c r="H454">
        <v>6.81</v>
      </c>
      <c r="I454">
        <v>26.22</v>
      </c>
      <c r="J454">
        <v>37.47</v>
      </c>
      <c r="K454">
        <v>550.88</v>
      </c>
      <c r="L454">
        <v>1200.97</v>
      </c>
      <c r="M454">
        <v>26.61</v>
      </c>
      <c r="N454">
        <v>26.26</v>
      </c>
      <c r="O454">
        <v>3.08</v>
      </c>
      <c r="P454">
        <v>1256.92</v>
      </c>
      <c r="Q454">
        <v>3.43</v>
      </c>
      <c r="R454">
        <v>-19.97</v>
      </c>
      <c r="S454">
        <v>35.81</v>
      </c>
      <c r="T454">
        <v>0</v>
      </c>
      <c r="U454">
        <v>0</v>
      </c>
      <c r="V454">
        <v>0</v>
      </c>
      <c r="W454">
        <v>339.8</v>
      </c>
      <c r="X454">
        <v>359.07</v>
      </c>
      <c r="Y454">
        <v>13.35</v>
      </c>
      <c r="Z454">
        <v>669.18</v>
      </c>
      <c r="AA454">
        <v>0</v>
      </c>
      <c r="AB454">
        <v>63.55</v>
      </c>
      <c r="AC454">
        <v>1250.6400000000001</v>
      </c>
      <c r="AD454">
        <v>0</v>
      </c>
      <c r="AE454">
        <v>4163.58</v>
      </c>
      <c r="AF454">
        <v>20310</v>
      </c>
      <c r="AG454" t="s">
        <v>71</v>
      </c>
      <c r="AH454" t="s">
        <v>72</v>
      </c>
      <c r="AI454" t="s">
        <v>71</v>
      </c>
      <c r="AJ454" t="s">
        <v>72</v>
      </c>
      <c r="AK454">
        <v>6076</v>
      </c>
      <c r="AL454" t="s">
        <v>44</v>
      </c>
      <c r="AM454">
        <v>1</v>
      </c>
      <c r="AN454">
        <v>1</v>
      </c>
      <c r="AO454">
        <v>2024</v>
      </c>
      <c r="AP454">
        <v>3</v>
      </c>
    </row>
    <row r="455" spans="1:42" x14ac:dyDescent="0.25">
      <c r="A455">
        <v>48.01</v>
      </c>
      <c r="B455">
        <v>1279.31</v>
      </c>
      <c r="C455">
        <v>404.59</v>
      </c>
      <c r="D455">
        <v>154.19</v>
      </c>
      <c r="E455">
        <v>294.11</v>
      </c>
      <c r="F455">
        <v>2180.21</v>
      </c>
      <c r="G455">
        <v>1012.26</v>
      </c>
      <c r="H455">
        <v>261.38</v>
      </c>
      <c r="I455">
        <v>160.63</v>
      </c>
      <c r="J455">
        <v>1434.27</v>
      </c>
      <c r="K455">
        <v>3614.49</v>
      </c>
      <c r="L455">
        <v>2283.13</v>
      </c>
      <c r="M455">
        <v>14.79</v>
      </c>
      <c r="N455">
        <v>313.83999999999997</v>
      </c>
      <c r="O455">
        <v>35.56</v>
      </c>
      <c r="P455">
        <v>2647.32</v>
      </c>
      <c r="Q455">
        <v>0.28000000000000003</v>
      </c>
      <c r="R455">
        <v>24.37</v>
      </c>
      <c r="S455">
        <v>36.729999999999997</v>
      </c>
      <c r="T455">
        <v>0</v>
      </c>
      <c r="U455">
        <v>223.97</v>
      </c>
      <c r="V455">
        <v>0</v>
      </c>
      <c r="W455">
        <v>380.08</v>
      </c>
      <c r="X455">
        <v>665.43</v>
      </c>
      <c r="Y455">
        <v>53.01</v>
      </c>
      <c r="Z455">
        <v>694.65</v>
      </c>
      <c r="AA455">
        <v>641.70000000000005</v>
      </c>
      <c r="AB455">
        <v>0</v>
      </c>
      <c r="AC455">
        <v>846.96</v>
      </c>
      <c r="AD455">
        <v>0.1</v>
      </c>
      <c r="AE455">
        <v>9163.66</v>
      </c>
      <c r="AF455">
        <v>20377</v>
      </c>
      <c r="AG455" t="s">
        <v>69</v>
      </c>
      <c r="AH455" t="s">
        <v>70</v>
      </c>
      <c r="AI455" t="s">
        <v>69</v>
      </c>
      <c r="AJ455" t="s">
        <v>70</v>
      </c>
      <c r="AK455">
        <v>6738</v>
      </c>
      <c r="AL455" t="s">
        <v>44</v>
      </c>
      <c r="AM455">
        <v>2</v>
      </c>
      <c r="AN455">
        <v>2</v>
      </c>
      <c r="AO455">
        <v>2024</v>
      </c>
      <c r="AP455">
        <v>1</v>
      </c>
    </row>
    <row r="456" spans="1:42" x14ac:dyDescent="0.25">
      <c r="A456">
        <v>53.86</v>
      </c>
      <c r="B456">
        <v>695.3</v>
      </c>
      <c r="C456">
        <v>244.46</v>
      </c>
      <c r="D456">
        <v>61.53</v>
      </c>
      <c r="E456">
        <v>205.25</v>
      </c>
      <c r="F456">
        <v>1260.4000000000001</v>
      </c>
      <c r="G456">
        <v>200.12</v>
      </c>
      <c r="H456">
        <v>114.89</v>
      </c>
      <c r="I456">
        <v>118.49</v>
      </c>
      <c r="J456">
        <v>433.5</v>
      </c>
      <c r="K456">
        <v>1693.9</v>
      </c>
      <c r="L456">
        <v>5.66</v>
      </c>
      <c r="M456">
        <v>448.6</v>
      </c>
      <c r="N456">
        <v>0</v>
      </c>
      <c r="O456">
        <v>33.6</v>
      </c>
      <c r="P456">
        <v>487.86</v>
      </c>
      <c r="Q456">
        <v>2.21</v>
      </c>
      <c r="R456">
        <v>-0.01</v>
      </c>
      <c r="S456">
        <v>37.76</v>
      </c>
      <c r="T456">
        <v>298.95</v>
      </c>
      <c r="U456">
        <v>0</v>
      </c>
      <c r="V456">
        <v>0</v>
      </c>
      <c r="W456">
        <v>70.97</v>
      </c>
      <c r="X456">
        <v>409.89</v>
      </c>
      <c r="Y456">
        <v>0</v>
      </c>
      <c r="Z456">
        <v>33.229999999999997</v>
      </c>
      <c r="AA456">
        <v>30.41</v>
      </c>
      <c r="AB456">
        <v>0</v>
      </c>
      <c r="AC456">
        <v>33.090000000000003</v>
      </c>
      <c r="AD456">
        <v>0</v>
      </c>
      <c r="AE456">
        <v>2688.38</v>
      </c>
      <c r="AF456">
        <v>20445</v>
      </c>
      <c r="AG456" t="s">
        <v>73</v>
      </c>
      <c r="AH456" t="s">
        <v>74</v>
      </c>
      <c r="AI456" t="s">
        <v>73</v>
      </c>
      <c r="AJ456" t="s">
        <v>74</v>
      </c>
      <c r="AK456">
        <v>11059</v>
      </c>
      <c r="AL456" t="s">
        <v>50</v>
      </c>
      <c r="AM456">
        <v>2</v>
      </c>
      <c r="AN456">
        <v>2</v>
      </c>
      <c r="AO456">
        <v>2024</v>
      </c>
      <c r="AP456">
        <v>3</v>
      </c>
    </row>
    <row r="457" spans="1:42" x14ac:dyDescent="0.25">
      <c r="A457">
        <v>56.69</v>
      </c>
      <c r="B457">
        <v>538.91999999999996</v>
      </c>
      <c r="C457">
        <v>166.01</v>
      </c>
      <c r="D457">
        <v>0</v>
      </c>
      <c r="E457">
        <v>19.34</v>
      </c>
      <c r="F457">
        <v>780.96</v>
      </c>
      <c r="G457">
        <v>12.64</v>
      </c>
      <c r="H457">
        <v>105.29</v>
      </c>
      <c r="I457">
        <v>47.76</v>
      </c>
      <c r="J457">
        <v>165.69</v>
      </c>
      <c r="K457">
        <v>946.65</v>
      </c>
      <c r="L457">
        <v>0.92</v>
      </c>
      <c r="M457">
        <v>50.03</v>
      </c>
      <c r="N457">
        <v>0</v>
      </c>
      <c r="O457">
        <v>0</v>
      </c>
      <c r="P457">
        <v>50.95</v>
      </c>
      <c r="Q457">
        <v>0</v>
      </c>
      <c r="R457">
        <v>4.18</v>
      </c>
      <c r="S457">
        <v>7.04</v>
      </c>
      <c r="T457">
        <v>242.38</v>
      </c>
      <c r="U457">
        <v>0</v>
      </c>
      <c r="V457">
        <v>0</v>
      </c>
      <c r="W457">
        <v>86.07</v>
      </c>
      <c r="X457">
        <v>339.67</v>
      </c>
      <c r="Y457">
        <v>0</v>
      </c>
      <c r="Z457">
        <v>26.94</v>
      </c>
      <c r="AA457">
        <v>14.05</v>
      </c>
      <c r="AB457">
        <v>1.63</v>
      </c>
      <c r="AC457">
        <v>141.97999999999999</v>
      </c>
      <c r="AD457">
        <v>0</v>
      </c>
      <c r="AE457">
        <v>1521.88</v>
      </c>
      <c r="AF457">
        <v>20363</v>
      </c>
      <c r="AG457" t="s">
        <v>77</v>
      </c>
      <c r="AH457" t="s">
        <v>78</v>
      </c>
      <c r="AI457" t="s">
        <v>77</v>
      </c>
      <c r="AJ457" t="s">
        <v>78</v>
      </c>
      <c r="AK457">
        <v>11027</v>
      </c>
      <c r="AL457" t="s">
        <v>50</v>
      </c>
      <c r="AM457">
        <v>2</v>
      </c>
      <c r="AN457">
        <v>2</v>
      </c>
      <c r="AO457">
        <v>2024</v>
      </c>
      <c r="AP457">
        <v>4</v>
      </c>
    </row>
    <row r="458" spans="1:42" x14ac:dyDescent="0.25">
      <c r="A458">
        <v>60.56</v>
      </c>
      <c r="B458">
        <v>551</v>
      </c>
      <c r="C458">
        <v>190.47</v>
      </c>
      <c r="D458">
        <v>43.8</v>
      </c>
      <c r="E458">
        <v>137.13</v>
      </c>
      <c r="F458">
        <v>982.96</v>
      </c>
      <c r="G458">
        <v>140.37</v>
      </c>
      <c r="H458">
        <v>78.53</v>
      </c>
      <c r="I458">
        <v>67.900000000000006</v>
      </c>
      <c r="J458">
        <v>286.8</v>
      </c>
      <c r="K458">
        <v>1269.76</v>
      </c>
      <c r="L458">
        <v>0.76</v>
      </c>
      <c r="M458">
        <v>304.14999999999998</v>
      </c>
      <c r="N458">
        <v>0</v>
      </c>
      <c r="O458">
        <v>27.2</v>
      </c>
      <c r="P458">
        <v>332.11</v>
      </c>
      <c r="Q458">
        <v>1.44</v>
      </c>
      <c r="R458">
        <v>0</v>
      </c>
      <c r="S458">
        <v>29.9</v>
      </c>
      <c r="T458">
        <v>230.09</v>
      </c>
      <c r="U458">
        <v>0</v>
      </c>
      <c r="V458">
        <v>0</v>
      </c>
      <c r="W458">
        <v>63.17</v>
      </c>
      <c r="X458">
        <v>324.58</v>
      </c>
      <c r="Y458">
        <v>0.02</v>
      </c>
      <c r="Z458">
        <v>27.77</v>
      </c>
      <c r="AA458">
        <v>23.24</v>
      </c>
      <c r="AB458">
        <v>0</v>
      </c>
      <c r="AC458">
        <v>45.74</v>
      </c>
      <c r="AD458">
        <v>0</v>
      </c>
      <c r="AE458">
        <v>2023.2</v>
      </c>
      <c r="AF458">
        <v>20445</v>
      </c>
      <c r="AG458" t="s">
        <v>73</v>
      </c>
      <c r="AH458" t="s">
        <v>74</v>
      </c>
      <c r="AI458" t="s">
        <v>73</v>
      </c>
      <c r="AJ458" t="s">
        <v>74</v>
      </c>
      <c r="AK458">
        <v>11059</v>
      </c>
      <c r="AL458" t="s">
        <v>50</v>
      </c>
      <c r="AM458">
        <v>2</v>
      </c>
      <c r="AN458">
        <v>2</v>
      </c>
      <c r="AO458">
        <v>2024</v>
      </c>
      <c r="AP458">
        <v>4</v>
      </c>
    </row>
    <row r="459" spans="1:42" x14ac:dyDescent="0.25">
      <c r="A459">
        <v>61.32</v>
      </c>
      <c r="B459">
        <v>451.19</v>
      </c>
      <c r="C459">
        <v>137.43</v>
      </c>
      <c r="D459">
        <v>0</v>
      </c>
      <c r="E459">
        <v>15.83</v>
      </c>
      <c r="F459">
        <v>665.76</v>
      </c>
      <c r="G459">
        <v>8.6999999999999993</v>
      </c>
      <c r="H459">
        <v>89.3</v>
      </c>
      <c r="I459">
        <v>44.55</v>
      </c>
      <c r="J459">
        <v>142.56</v>
      </c>
      <c r="K459">
        <v>808.32</v>
      </c>
      <c r="L459">
        <v>0.85</v>
      </c>
      <c r="M459">
        <v>43.16</v>
      </c>
      <c r="N459">
        <v>0</v>
      </c>
      <c r="O459">
        <v>0</v>
      </c>
      <c r="P459">
        <v>44.01</v>
      </c>
      <c r="Q459">
        <v>0</v>
      </c>
      <c r="R459">
        <v>3.46</v>
      </c>
      <c r="S459">
        <v>5.0599999999999996</v>
      </c>
      <c r="T459">
        <v>204.35</v>
      </c>
      <c r="U459">
        <v>0</v>
      </c>
      <c r="V459">
        <v>0</v>
      </c>
      <c r="W459">
        <v>72.91</v>
      </c>
      <c r="X459">
        <v>285.77999999999997</v>
      </c>
      <c r="Y459">
        <v>0</v>
      </c>
      <c r="Z459">
        <v>22.61</v>
      </c>
      <c r="AA459">
        <v>11.31</v>
      </c>
      <c r="AB459">
        <v>1.38</v>
      </c>
      <c r="AC459">
        <v>113.78</v>
      </c>
      <c r="AD459">
        <v>0</v>
      </c>
      <c r="AE459">
        <v>1287.17</v>
      </c>
      <c r="AF459">
        <v>20363</v>
      </c>
      <c r="AG459" t="s">
        <v>77</v>
      </c>
      <c r="AH459" t="s">
        <v>78</v>
      </c>
      <c r="AI459" t="s">
        <v>77</v>
      </c>
      <c r="AJ459" t="s">
        <v>78</v>
      </c>
      <c r="AK459">
        <v>11027</v>
      </c>
      <c r="AL459" t="s">
        <v>50</v>
      </c>
      <c r="AM459">
        <v>2</v>
      </c>
      <c r="AN459">
        <v>2</v>
      </c>
      <c r="AO459">
        <v>2024</v>
      </c>
      <c r="AP459">
        <v>3</v>
      </c>
    </row>
    <row r="460" spans="1:42" x14ac:dyDescent="0.25">
      <c r="A460">
        <v>62.87</v>
      </c>
      <c r="B460">
        <v>629.01</v>
      </c>
      <c r="C460">
        <v>241.83</v>
      </c>
      <c r="D460">
        <v>52.97</v>
      </c>
      <c r="E460">
        <v>191.72</v>
      </c>
      <c r="F460">
        <v>1178.4000000000001</v>
      </c>
      <c r="G460">
        <v>143.24</v>
      </c>
      <c r="H460">
        <v>107.1</v>
      </c>
      <c r="I460">
        <v>101.13</v>
      </c>
      <c r="J460">
        <v>351.48</v>
      </c>
      <c r="K460">
        <v>1529.88</v>
      </c>
      <c r="L460">
        <v>2.21</v>
      </c>
      <c r="M460">
        <v>350.14</v>
      </c>
      <c r="N460">
        <v>0</v>
      </c>
      <c r="O460">
        <v>35.49</v>
      </c>
      <c r="P460">
        <v>387.85</v>
      </c>
      <c r="Q460">
        <v>1.1000000000000001</v>
      </c>
      <c r="R460">
        <v>0.09</v>
      </c>
      <c r="S460">
        <v>40.92</v>
      </c>
      <c r="T460">
        <v>338.29</v>
      </c>
      <c r="U460">
        <v>0</v>
      </c>
      <c r="V460">
        <v>0</v>
      </c>
      <c r="W460">
        <v>76.239999999999995</v>
      </c>
      <c r="X460">
        <v>456.64</v>
      </c>
      <c r="Y460">
        <v>0</v>
      </c>
      <c r="Z460">
        <v>30.78</v>
      </c>
      <c r="AA460">
        <v>29.44</v>
      </c>
      <c r="AB460">
        <v>0</v>
      </c>
      <c r="AC460">
        <v>15.62</v>
      </c>
      <c r="AD460">
        <v>0</v>
      </c>
      <c r="AE460">
        <v>2450.21</v>
      </c>
      <c r="AF460">
        <v>20445</v>
      </c>
      <c r="AG460" t="s">
        <v>73</v>
      </c>
      <c r="AH460" t="s">
        <v>74</v>
      </c>
      <c r="AI460" t="s">
        <v>73</v>
      </c>
      <c r="AJ460" t="s">
        <v>74</v>
      </c>
      <c r="AK460">
        <v>11059</v>
      </c>
      <c r="AL460" t="s">
        <v>50</v>
      </c>
      <c r="AM460">
        <v>2</v>
      </c>
      <c r="AN460">
        <v>2</v>
      </c>
      <c r="AO460">
        <v>2024</v>
      </c>
      <c r="AP460">
        <v>1</v>
      </c>
    </row>
    <row r="461" spans="1:42" x14ac:dyDescent="0.25">
      <c r="A461">
        <v>72.69</v>
      </c>
      <c r="B461">
        <v>576.61</v>
      </c>
      <c r="C461">
        <v>216.6</v>
      </c>
      <c r="D461">
        <v>51.75</v>
      </c>
      <c r="E461">
        <v>177.34</v>
      </c>
      <c r="F461">
        <v>1094.99</v>
      </c>
      <c r="G461">
        <v>159.22</v>
      </c>
      <c r="H461">
        <v>88.69</v>
      </c>
      <c r="I461">
        <v>78.3</v>
      </c>
      <c r="J461">
        <v>326.20999999999998</v>
      </c>
      <c r="K461">
        <v>1421.2</v>
      </c>
      <c r="L461">
        <v>1.56</v>
      </c>
      <c r="M461">
        <v>389.4</v>
      </c>
      <c r="N461">
        <v>0</v>
      </c>
      <c r="O461">
        <v>36.340000000000003</v>
      </c>
      <c r="P461">
        <v>427.3</v>
      </c>
      <c r="Q461">
        <v>1.97</v>
      </c>
      <c r="R461">
        <v>0.1</v>
      </c>
      <c r="S461">
        <v>38.14</v>
      </c>
      <c r="T461">
        <v>358.69</v>
      </c>
      <c r="U461">
        <v>0</v>
      </c>
      <c r="V461">
        <v>0</v>
      </c>
      <c r="W461">
        <v>55.41</v>
      </c>
      <c r="X461">
        <v>454.3</v>
      </c>
      <c r="Y461">
        <v>0</v>
      </c>
      <c r="Z461">
        <v>30.95</v>
      </c>
      <c r="AA461">
        <v>27.62</v>
      </c>
      <c r="AB461">
        <v>0</v>
      </c>
      <c r="AC461">
        <v>36.9</v>
      </c>
      <c r="AD461">
        <v>0</v>
      </c>
      <c r="AE461">
        <v>2398.2800000000002</v>
      </c>
      <c r="AF461">
        <v>20445</v>
      </c>
      <c r="AG461" t="s">
        <v>73</v>
      </c>
      <c r="AH461" t="s">
        <v>74</v>
      </c>
      <c r="AI461" t="s">
        <v>73</v>
      </c>
      <c r="AJ461" t="s">
        <v>74</v>
      </c>
      <c r="AK461">
        <v>11059</v>
      </c>
      <c r="AL461" t="s">
        <v>50</v>
      </c>
      <c r="AM461">
        <v>2</v>
      </c>
      <c r="AN461">
        <v>2</v>
      </c>
      <c r="AO461">
        <v>2024</v>
      </c>
      <c r="AP461">
        <v>2</v>
      </c>
    </row>
    <row r="462" spans="1:42" x14ac:dyDescent="0.25">
      <c r="A462">
        <v>78.73</v>
      </c>
      <c r="B462">
        <v>2122.54</v>
      </c>
      <c r="C462">
        <v>1860.69</v>
      </c>
      <c r="D462">
        <v>135.47999999999999</v>
      </c>
      <c r="E462">
        <v>103.84</v>
      </c>
      <c r="F462">
        <v>4301.28</v>
      </c>
      <c r="G462">
        <v>1892.07</v>
      </c>
      <c r="H462">
        <v>580.77</v>
      </c>
      <c r="I462">
        <v>203.84</v>
      </c>
      <c r="J462">
        <v>2676.67</v>
      </c>
      <c r="K462">
        <v>6977.95</v>
      </c>
      <c r="L462">
        <v>5998.97</v>
      </c>
      <c r="M462">
        <v>3369.11</v>
      </c>
      <c r="N462">
        <v>490.01</v>
      </c>
      <c r="O462">
        <v>592.96</v>
      </c>
      <c r="P462">
        <v>10451.049999999999</v>
      </c>
      <c r="Q462">
        <v>0</v>
      </c>
      <c r="R462">
        <v>38.75</v>
      </c>
      <c r="S462">
        <v>136.52000000000001</v>
      </c>
      <c r="T462">
        <v>1123.5899999999999</v>
      </c>
      <c r="U462">
        <v>0</v>
      </c>
      <c r="V462">
        <v>0</v>
      </c>
      <c r="W462">
        <v>978.27</v>
      </c>
      <c r="X462">
        <v>2277.13</v>
      </c>
      <c r="Y462">
        <v>128.41</v>
      </c>
      <c r="Z462">
        <v>4633.83</v>
      </c>
      <c r="AA462">
        <v>451.83</v>
      </c>
      <c r="AB462">
        <v>0</v>
      </c>
      <c r="AC462">
        <v>0</v>
      </c>
      <c r="AD462">
        <v>0</v>
      </c>
      <c r="AE462">
        <v>24920.18</v>
      </c>
      <c r="AF462">
        <v>19874</v>
      </c>
      <c r="AG462" t="s">
        <v>85</v>
      </c>
      <c r="AH462" t="s">
        <v>86</v>
      </c>
      <c r="AI462" t="s">
        <v>85</v>
      </c>
      <c r="AJ462" t="s">
        <v>86</v>
      </c>
      <c r="AK462">
        <v>16028</v>
      </c>
      <c r="AL462" t="s">
        <v>53</v>
      </c>
      <c r="AM462">
        <v>2</v>
      </c>
      <c r="AN462">
        <v>2</v>
      </c>
      <c r="AO462">
        <v>2024</v>
      </c>
      <c r="AP462">
        <v>4</v>
      </c>
    </row>
    <row r="463" spans="1:42" x14ac:dyDescent="0.25">
      <c r="A463">
        <v>80.06</v>
      </c>
      <c r="B463">
        <v>780.1</v>
      </c>
      <c r="C463">
        <v>235.5</v>
      </c>
      <c r="D463">
        <v>0</v>
      </c>
      <c r="E463">
        <v>27.2</v>
      </c>
      <c r="F463">
        <v>1122.8699999999999</v>
      </c>
      <c r="G463">
        <v>16.09</v>
      </c>
      <c r="H463">
        <v>148.9</v>
      </c>
      <c r="I463">
        <v>85.79</v>
      </c>
      <c r="J463">
        <v>250.78</v>
      </c>
      <c r="K463">
        <v>1373.65</v>
      </c>
      <c r="L463">
        <v>1.87</v>
      </c>
      <c r="M463">
        <v>72.17</v>
      </c>
      <c r="N463">
        <v>0</v>
      </c>
      <c r="O463">
        <v>0</v>
      </c>
      <c r="P463">
        <v>74.03</v>
      </c>
      <c r="Q463">
        <v>0</v>
      </c>
      <c r="R463">
        <v>7.01</v>
      </c>
      <c r="S463">
        <v>10.99</v>
      </c>
      <c r="T463">
        <v>348.85</v>
      </c>
      <c r="U463">
        <v>0</v>
      </c>
      <c r="V463">
        <v>0</v>
      </c>
      <c r="W463">
        <v>126.34</v>
      </c>
      <c r="X463">
        <v>493.18</v>
      </c>
      <c r="Y463">
        <v>0</v>
      </c>
      <c r="Z463">
        <v>39.159999999999997</v>
      </c>
      <c r="AA463">
        <v>20.78</v>
      </c>
      <c r="AB463">
        <v>3.04</v>
      </c>
      <c r="AC463">
        <v>234.6</v>
      </c>
      <c r="AD463">
        <v>0</v>
      </c>
      <c r="AE463">
        <v>2238.4499999999998</v>
      </c>
      <c r="AF463">
        <v>20363</v>
      </c>
      <c r="AG463" t="s">
        <v>77</v>
      </c>
      <c r="AH463" t="s">
        <v>78</v>
      </c>
      <c r="AI463" t="s">
        <v>77</v>
      </c>
      <c r="AJ463" t="s">
        <v>78</v>
      </c>
      <c r="AK463">
        <v>11027</v>
      </c>
      <c r="AL463" t="s">
        <v>50</v>
      </c>
      <c r="AM463">
        <v>2</v>
      </c>
      <c r="AN463">
        <v>2</v>
      </c>
      <c r="AO463">
        <v>2024</v>
      </c>
      <c r="AP463">
        <v>2</v>
      </c>
    </row>
    <row r="464" spans="1:42" x14ac:dyDescent="0.25">
      <c r="A464">
        <v>81.760000000000005</v>
      </c>
      <c r="B464">
        <v>0</v>
      </c>
      <c r="C464">
        <v>5.83</v>
      </c>
      <c r="D464">
        <v>10.47</v>
      </c>
      <c r="E464">
        <v>529.64</v>
      </c>
      <c r="F464">
        <v>627.70000000000005</v>
      </c>
      <c r="G464">
        <v>59.39</v>
      </c>
      <c r="H464">
        <v>80.959999999999994</v>
      </c>
      <c r="I464">
        <v>29.66</v>
      </c>
      <c r="J464">
        <v>170.02</v>
      </c>
      <c r="K464">
        <v>797.72</v>
      </c>
      <c r="L464">
        <v>4618.28</v>
      </c>
      <c r="M464">
        <v>9.81</v>
      </c>
      <c r="N464">
        <v>0</v>
      </c>
      <c r="O464">
        <v>190.52</v>
      </c>
      <c r="P464">
        <v>4818.6099999999997</v>
      </c>
      <c r="Q464">
        <v>419.73</v>
      </c>
      <c r="R464">
        <v>160.28</v>
      </c>
      <c r="S464">
        <v>0</v>
      </c>
      <c r="T464">
        <v>1423.51</v>
      </c>
      <c r="U464">
        <v>0</v>
      </c>
      <c r="V464">
        <v>34.74</v>
      </c>
      <c r="W464">
        <v>347.9</v>
      </c>
      <c r="X464">
        <v>2386.17</v>
      </c>
      <c r="Y464">
        <v>285.47000000000003</v>
      </c>
      <c r="Z464">
        <v>21340.12</v>
      </c>
      <c r="AA464">
        <v>49.79</v>
      </c>
      <c r="AB464">
        <v>0</v>
      </c>
      <c r="AC464">
        <v>50.77</v>
      </c>
      <c r="AD464">
        <v>715.01</v>
      </c>
      <c r="AE464">
        <v>30443.64</v>
      </c>
      <c r="AF464">
        <v>20100</v>
      </c>
      <c r="AG464" t="s">
        <v>51</v>
      </c>
      <c r="AH464" t="s">
        <v>52</v>
      </c>
      <c r="AI464" t="s">
        <v>51</v>
      </c>
      <c r="AJ464" t="s">
        <v>52</v>
      </c>
      <c r="AK464">
        <v>6758</v>
      </c>
      <c r="AL464" t="s">
        <v>44</v>
      </c>
      <c r="AM464">
        <v>3</v>
      </c>
      <c r="AN464">
        <v>3</v>
      </c>
      <c r="AO464">
        <v>2024</v>
      </c>
      <c r="AP464">
        <v>4</v>
      </c>
    </row>
    <row r="465" spans="1:42" x14ac:dyDescent="0.25">
      <c r="A465">
        <v>89.23</v>
      </c>
      <c r="B465">
        <v>0</v>
      </c>
      <c r="C465">
        <v>10.14</v>
      </c>
      <c r="D465">
        <v>29.86</v>
      </c>
      <c r="E465">
        <v>704.42</v>
      </c>
      <c r="F465">
        <v>833.65</v>
      </c>
      <c r="G465">
        <v>44.72</v>
      </c>
      <c r="H465">
        <v>95.86</v>
      </c>
      <c r="I465">
        <v>40.29</v>
      </c>
      <c r="J465">
        <v>180.86</v>
      </c>
      <c r="K465">
        <v>1014.51</v>
      </c>
      <c r="L465">
        <v>6362.04</v>
      </c>
      <c r="M465">
        <v>18.82</v>
      </c>
      <c r="N465">
        <v>0</v>
      </c>
      <c r="O465">
        <v>159.78</v>
      </c>
      <c r="P465">
        <v>6540.64</v>
      </c>
      <c r="Q465">
        <v>521.41</v>
      </c>
      <c r="R465">
        <v>323.8</v>
      </c>
      <c r="S465">
        <v>0</v>
      </c>
      <c r="T465">
        <v>1867.86</v>
      </c>
      <c r="U465">
        <v>0</v>
      </c>
      <c r="V465">
        <v>37.340000000000003</v>
      </c>
      <c r="W465">
        <v>517.5</v>
      </c>
      <c r="X465">
        <v>3267.91</v>
      </c>
      <c r="Y465">
        <v>258.79000000000002</v>
      </c>
      <c r="Z465">
        <v>20359.5</v>
      </c>
      <c r="AA465">
        <v>75.37</v>
      </c>
      <c r="AB465">
        <v>0</v>
      </c>
      <c r="AC465">
        <v>66.55</v>
      </c>
      <c r="AD465">
        <v>797.08</v>
      </c>
      <c r="AE465">
        <v>32380.35</v>
      </c>
      <c r="AF465">
        <v>20100</v>
      </c>
      <c r="AG465" t="s">
        <v>51</v>
      </c>
      <c r="AH465" t="s">
        <v>52</v>
      </c>
      <c r="AI465" t="s">
        <v>51</v>
      </c>
      <c r="AJ465" t="s">
        <v>52</v>
      </c>
      <c r="AK465">
        <v>16757</v>
      </c>
      <c r="AL465" t="s">
        <v>53</v>
      </c>
      <c r="AM465">
        <v>3</v>
      </c>
      <c r="AN465">
        <v>3</v>
      </c>
      <c r="AO465">
        <v>2024</v>
      </c>
      <c r="AP465">
        <v>1</v>
      </c>
    </row>
    <row r="466" spans="1:42" x14ac:dyDescent="0.25">
      <c r="A466">
        <v>91.84</v>
      </c>
      <c r="B466">
        <v>2100.48</v>
      </c>
      <c r="C466">
        <v>1921.96</v>
      </c>
      <c r="D466">
        <v>151.61000000000001</v>
      </c>
      <c r="E466">
        <v>111.79</v>
      </c>
      <c r="F466">
        <v>4377.67</v>
      </c>
      <c r="G466">
        <v>2512.58</v>
      </c>
      <c r="H466">
        <v>810.99</v>
      </c>
      <c r="I466">
        <v>269.88</v>
      </c>
      <c r="J466">
        <v>3593.45</v>
      </c>
      <c r="K466">
        <v>7971.12</v>
      </c>
      <c r="L466">
        <v>8216.4</v>
      </c>
      <c r="M466">
        <v>2891.39</v>
      </c>
      <c r="N466">
        <v>530.96</v>
      </c>
      <c r="O466">
        <v>746.49</v>
      </c>
      <c r="P466">
        <v>12385.24</v>
      </c>
      <c r="Q466">
        <v>0</v>
      </c>
      <c r="R466">
        <v>39.090000000000003</v>
      </c>
      <c r="S466">
        <v>20.67</v>
      </c>
      <c r="T466">
        <v>720.65</v>
      </c>
      <c r="U466">
        <v>0</v>
      </c>
      <c r="V466">
        <v>0</v>
      </c>
      <c r="W466">
        <v>1213.8699999999999</v>
      </c>
      <c r="X466">
        <v>1994.29</v>
      </c>
      <c r="Y466">
        <v>114.87</v>
      </c>
      <c r="Z466">
        <v>5039.7700000000004</v>
      </c>
      <c r="AA466">
        <v>492.42</v>
      </c>
      <c r="AB466">
        <v>0</v>
      </c>
      <c r="AC466">
        <v>0</v>
      </c>
      <c r="AD466">
        <v>0</v>
      </c>
      <c r="AE466">
        <v>27997.7</v>
      </c>
      <c r="AF466">
        <v>19874</v>
      </c>
      <c r="AG466" t="s">
        <v>85</v>
      </c>
      <c r="AH466" t="s">
        <v>86</v>
      </c>
      <c r="AI466" t="s">
        <v>85</v>
      </c>
      <c r="AJ466" t="s">
        <v>86</v>
      </c>
      <c r="AK466">
        <v>16028</v>
      </c>
      <c r="AL466" t="s">
        <v>53</v>
      </c>
      <c r="AM466">
        <v>2</v>
      </c>
      <c r="AN466">
        <v>2</v>
      </c>
      <c r="AO466">
        <v>2024</v>
      </c>
      <c r="AP466">
        <v>2</v>
      </c>
    </row>
    <row r="467" spans="1:42" x14ac:dyDescent="0.25">
      <c r="A467">
        <v>94.07</v>
      </c>
      <c r="B467">
        <v>2137.83</v>
      </c>
      <c r="C467">
        <v>2044.79</v>
      </c>
      <c r="D467">
        <v>177.86</v>
      </c>
      <c r="E467">
        <v>118.77</v>
      </c>
      <c r="F467">
        <v>4573.3100000000004</v>
      </c>
      <c r="G467">
        <v>2327.44</v>
      </c>
      <c r="H467">
        <v>769.77</v>
      </c>
      <c r="I467">
        <v>315.18</v>
      </c>
      <c r="J467">
        <v>3412.38</v>
      </c>
      <c r="K467">
        <v>7985.69</v>
      </c>
      <c r="L467">
        <v>9323.35</v>
      </c>
      <c r="M467">
        <v>2555.34</v>
      </c>
      <c r="N467">
        <v>567.82000000000005</v>
      </c>
      <c r="O467">
        <v>687.98</v>
      </c>
      <c r="P467">
        <v>13134.49</v>
      </c>
      <c r="Q467">
        <v>0</v>
      </c>
      <c r="R467">
        <v>43.65</v>
      </c>
      <c r="S467">
        <v>361.93</v>
      </c>
      <c r="T467">
        <v>1089.1099999999999</v>
      </c>
      <c r="U467">
        <v>0</v>
      </c>
      <c r="V467">
        <v>0</v>
      </c>
      <c r="W467">
        <v>1179.06</v>
      </c>
      <c r="X467">
        <v>2673.75</v>
      </c>
      <c r="Y467">
        <v>148.19999999999999</v>
      </c>
      <c r="Z467">
        <v>5053.01</v>
      </c>
      <c r="AA467">
        <v>493.29</v>
      </c>
      <c r="AB467">
        <v>0</v>
      </c>
      <c r="AC467">
        <v>0</v>
      </c>
      <c r="AD467">
        <v>0</v>
      </c>
      <c r="AE467">
        <v>29488.43</v>
      </c>
      <c r="AF467">
        <v>19874</v>
      </c>
      <c r="AG467" t="s">
        <v>85</v>
      </c>
      <c r="AH467" t="s">
        <v>86</v>
      </c>
      <c r="AI467" t="s">
        <v>85</v>
      </c>
      <c r="AJ467" t="s">
        <v>86</v>
      </c>
      <c r="AK467">
        <v>16028</v>
      </c>
      <c r="AL467" t="s">
        <v>53</v>
      </c>
      <c r="AM467">
        <v>2</v>
      </c>
      <c r="AN467">
        <v>2</v>
      </c>
      <c r="AO467">
        <v>2024</v>
      </c>
      <c r="AP467">
        <v>1</v>
      </c>
    </row>
    <row r="468" spans="1:42" x14ac:dyDescent="0.25">
      <c r="A468">
        <v>97.87</v>
      </c>
      <c r="B468">
        <v>1837.6</v>
      </c>
      <c r="C468">
        <v>1475.05</v>
      </c>
      <c r="D468">
        <v>277.98</v>
      </c>
      <c r="F468">
        <v>3688.5</v>
      </c>
      <c r="G468">
        <v>849.54</v>
      </c>
      <c r="H468">
        <v>611.42999999999995</v>
      </c>
      <c r="I468">
        <v>279.97000000000003</v>
      </c>
      <c r="J468">
        <v>1740.93</v>
      </c>
      <c r="K468">
        <v>5429.43</v>
      </c>
      <c r="L468">
        <v>2185.5300000000002</v>
      </c>
      <c r="M468">
        <v>1086.08</v>
      </c>
      <c r="O468">
        <v>7.1</v>
      </c>
      <c r="P468">
        <v>3278.72</v>
      </c>
      <c r="Q468">
        <v>97.56</v>
      </c>
      <c r="R468">
        <v>53.93</v>
      </c>
      <c r="S468">
        <v>53.32</v>
      </c>
      <c r="T468">
        <v>1436.67</v>
      </c>
      <c r="V468">
        <v>317.95999999999998</v>
      </c>
      <c r="W468">
        <v>671.28</v>
      </c>
      <c r="X468">
        <v>2630.73</v>
      </c>
      <c r="Y468">
        <v>84.94</v>
      </c>
      <c r="Z468">
        <v>197.88</v>
      </c>
      <c r="AA468">
        <v>5169.76</v>
      </c>
      <c r="AD468">
        <v>1408.81</v>
      </c>
      <c r="AE468">
        <v>18200.259999999998</v>
      </c>
      <c r="AF468">
        <v>20370</v>
      </c>
      <c r="AG468" t="s">
        <v>81</v>
      </c>
      <c r="AH468" t="s">
        <v>82</v>
      </c>
      <c r="AI468" t="s">
        <v>81</v>
      </c>
      <c r="AJ468" t="s">
        <v>82</v>
      </c>
      <c r="AK468">
        <v>6683</v>
      </c>
      <c r="AL468" t="s">
        <v>44</v>
      </c>
      <c r="AM468">
        <v>3</v>
      </c>
      <c r="AN468">
        <v>3</v>
      </c>
      <c r="AO468">
        <v>2024</v>
      </c>
      <c r="AP468">
        <v>1</v>
      </c>
    </row>
    <row r="469" spans="1:42" x14ac:dyDescent="0.25">
      <c r="A469">
        <v>103.56</v>
      </c>
      <c r="B469">
        <v>1895.28</v>
      </c>
      <c r="C469">
        <v>2140.85</v>
      </c>
      <c r="D469">
        <v>176.6</v>
      </c>
      <c r="E469">
        <v>129.4</v>
      </c>
      <c r="F469">
        <v>4445.68</v>
      </c>
      <c r="G469">
        <v>2208.08</v>
      </c>
      <c r="H469">
        <v>615.22</v>
      </c>
      <c r="I469">
        <v>245.24</v>
      </c>
      <c r="J469">
        <v>3068.54</v>
      </c>
      <c r="K469">
        <v>7514.22</v>
      </c>
      <c r="L469">
        <v>9255.7199999999993</v>
      </c>
      <c r="M469">
        <v>2307.25</v>
      </c>
      <c r="N469">
        <v>556.52</v>
      </c>
      <c r="O469">
        <v>708.62</v>
      </c>
      <c r="P469">
        <v>12828.1</v>
      </c>
      <c r="Q469">
        <v>0</v>
      </c>
      <c r="R469">
        <v>35.770000000000003</v>
      </c>
      <c r="S469">
        <v>151.86000000000001</v>
      </c>
      <c r="T469">
        <v>1314.8</v>
      </c>
      <c r="U469">
        <v>0</v>
      </c>
      <c r="V469">
        <v>0</v>
      </c>
      <c r="W469">
        <v>1189.94</v>
      </c>
      <c r="X469">
        <v>2692.36</v>
      </c>
      <c r="Y469">
        <v>80.260000000000005</v>
      </c>
      <c r="Z469">
        <v>4947.24</v>
      </c>
      <c r="AA469">
        <v>537.12</v>
      </c>
      <c r="AB469">
        <v>0</v>
      </c>
      <c r="AC469">
        <v>0</v>
      </c>
      <c r="AD469">
        <v>0</v>
      </c>
      <c r="AE469">
        <v>28599.3</v>
      </c>
      <c r="AF469">
        <v>19874</v>
      </c>
      <c r="AG469" t="s">
        <v>85</v>
      </c>
      <c r="AH469" t="s">
        <v>86</v>
      </c>
      <c r="AI469" t="s">
        <v>85</v>
      </c>
      <c r="AJ469" t="s">
        <v>86</v>
      </c>
      <c r="AK469">
        <v>16028</v>
      </c>
      <c r="AL469" t="s">
        <v>53</v>
      </c>
      <c r="AM469">
        <v>2</v>
      </c>
      <c r="AN469">
        <v>2</v>
      </c>
      <c r="AO469">
        <v>2024</v>
      </c>
      <c r="AP469">
        <v>3</v>
      </c>
    </row>
    <row r="470" spans="1:42" x14ac:dyDescent="0.25">
      <c r="A470">
        <v>104.33</v>
      </c>
      <c r="B470">
        <v>0</v>
      </c>
      <c r="C470">
        <v>8.56</v>
      </c>
      <c r="D470">
        <v>26.04</v>
      </c>
      <c r="E470">
        <v>708.62</v>
      </c>
      <c r="F470">
        <v>847.55</v>
      </c>
      <c r="G470">
        <v>47.48</v>
      </c>
      <c r="H470">
        <v>102.95</v>
      </c>
      <c r="I470">
        <v>45.31</v>
      </c>
      <c r="J470">
        <v>195.74</v>
      </c>
      <c r="K470">
        <v>1043.29</v>
      </c>
      <c r="L470">
        <v>5582.23</v>
      </c>
      <c r="M470">
        <v>11.55</v>
      </c>
      <c r="N470">
        <v>0</v>
      </c>
      <c r="O470">
        <v>124.43</v>
      </c>
      <c r="P470">
        <v>5718.22</v>
      </c>
      <c r="Q470">
        <v>463.12</v>
      </c>
      <c r="R470">
        <v>153.13</v>
      </c>
      <c r="S470">
        <v>0</v>
      </c>
      <c r="T470">
        <v>1602.35</v>
      </c>
      <c r="U470">
        <v>0</v>
      </c>
      <c r="V470">
        <v>40.549999999999997</v>
      </c>
      <c r="W470">
        <v>421.54</v>
      </c>
      <c r="X470">
        <v>2680.68</v>
      </c>
      <c r="Y470">
        <v>251.69</v>
      </c>
      <c r="Z470">
        <v>16778.3</v>
      </c>
      <c r="AA470">
        <v>85.7</v>
      </c>
      <c r="AB470">
        <v>0</v>
      </c>
      <c r="AC470">
        <v>47.48</v>
      </c>
      <c r="AD470">
        <v>705.17</v>
      </c>
      <c r="AE470">
        <v>27310.53</v>
      </c>
      <c r="AF470">
        <v>20100</v>
      </c>
      <c r="AG470" t="s">
        <v>51</v>
      </c>
      <c r="AH470" t="s">
        <v>52</v>
      </c>
      <c r="AI470" t="s">
        <v>51</v>
      </c>
      <c r="AJ470" t="s">
        <v>52</v>
      </c>
      <c r="AK470">
        <v>6758</v>
      </c>
      <c r="AL470" t="s">
        <v>44</v>
      </c>
      <c r="AM470">
        <v>3</v>
      </c>
      <c r="AN470">
        <v>3</v>
      </c>
      <c r="AO470">
        <v>2024</v>
      </c>
      <c r="AP470">
        <v>2</v>
      </c>
    </row>
    <row r="471" spans="1:42" x14ac:dyDescent="0.25">
      <c r="A471">
        <v>108.11</v>
      </c>
      <c r="B471">
        <v>978.07</v>
      </c>
      <c r="C471">
        <v>280.33</v>
      </c>
      <c r="D471">
        <v>0</v>
      </c>
      <c r="E471">
        <v>30.59</v>
      </c>
      <c r="F471">
        <v>1397.1</v>
      </c>
      <c r="G471">
        <v>15.47</v>
      </c>
      <c r="H471">
        <v>188.54</v>
      </c>
      <c r="I471">
        <v>121.98</v>
      </c>
      <c r="J471">
        <v>326</v>
      </c>
      <c r="K471">
        <v>1723.1</v>
      </c>
      <c r="L471">
        <v>1.65</v>
      </c>
      <c r="M471">
        <v>76.33</v>
      </c>
      <c r="N471">
        <v>0</v>
      </c>
      <c r="O471">
        <v>0</v>
      </c>
      <c r="P471">
        <v>77.98</v>
      </c>
      <c r="Q471">
        <v>0</v>
      </c>
      <c r="R471">
        <v>9.0399999999999991</v>
      </c>
      <c r="S471">
        <v>12.37</v>
      </c>
      <c r="T471">
        <v>322.95</v>
      </c>
      <c r="U471">
        <v>0</v>
      </c>
      <c r="V471">
        <v>0</v>
      </c>
      <c r="W471">
        <v>159.15</v>
      </c>
      <c r="X471">
        <v>503.51</v>
      </c>
      <c r="Y471">
        <v>0</v>
      </c>
      <c r="Z471">
        <v>47.69</v>
      </c>
      <c r="AA471">
        <v>22.47</v>
      </c>
      <c r="AB471">
        <v>2.44</v>
      </c>
      <c r="AC471">
        <v>226.3</v>
      </c>
      <c r="AD471">
        <v>0</v>
      </c>
      <c r="AE471">
        <v>2603.48</v>
      </c>
      <c r="AF471">
        <v>20363</v>
      </c>
      <c r="AG471" t="s">
        <v>77</v>
      </c>
      <c r="AH471" t="s">
        <v>78</v>
      </c>
      <c r="AI471" t="s">
        <v>77</v>
      </c>
      <c r="AJ471" t="s">
        <v>78</v>
      </c>
      <c r="AK471">
        <v>11027</v>
      </c>
      <c r="AL471" t="s">
        <v>50</v>
      </c>
      <c r="AM471">
        <v>2</v>
      </c>
      <c r="AN471">
        <v>2</v>
      </c>
      <c r="AO471">
        <v>2024</v>
      </c>
      <c r="AP471">
        <v>1</v>
      </c>
    </row>
    <row r="472" spans="1:42" x14ac:dyDescent="0.25">
      <c r="A472">
        <v>122.49</v>
      </c>
      <c r="B472">
        <v>394.18</v>
      </c>
      <c r="C472">
        <v>545.09</v>
      </c>
      <c r="D472">
        <v>223.73</v>
      </c>
      <c r="E472">
        <v>81.81</v>
      </c>
      <c r="F472">
        <v>1367.31</v>
      </c>
      <c r="G472">
        <v>0</v>
      </c>
      <c r="H472">
        <v>98.51</v>
      </c>
      <c r="I472">
        <v>107.79</v>
      </c>
      <c r="J472">
        <v>206.3</v>
      </c>
      <c r="K472">
        <v>1573.61</v>
      </c>
      <c r="L472">
        <v>1951.74</v>
      </c>
      <c r="M472">
        <v>131.16999999999999</v>
      </c>
      <c r="N472">
        <v>0</v>
      </c>
      <c r="O472">
        <v>0</v>
      </c>
      <c r="P472">
        <v>2082.91</v>
      </c>
      <c r="Q472">
        <v>0.04</v>
      </c>
      <c r="R472">
        <v>0</v>
      </c>
      <c r="S472">
        <v>100.07</v>
      </c>
      <c r="T472">
        <v>75.87</v>
      </c>
      <c r="U472">
        <v>0</v>
      </c>
      <c r="W472">
        <v>477.58</v>
      </c>
      <c r="X472">
        <v>653.57000000000005</v>
      </c>
      <c r="Y472">
        <v>2.37</v>
      </c>
      <c r="Z472">
        <v>62.22</v>
      </c>
      <c r="AA472">
        <v>1629.7</v>
      </c>
      <c r="AB472">
        <v>0</v>
      </c>
      <c r="AC472">
        <v>1228.78</v>
      </c>
      <c r="AD472">
        <v>0</v>
      </c>
      <c r="AE472">
        <v>7233.15</v>
      </c>
      <c r="AF472">
        <v>20447</v>
      </c>
      <c r="AG472" t="s">
        <v>87</v>
      </c>
      <c r="AH472" t="s">
        <v>88</v>
      </c>
      <c r="AI472" t="s">
        <v>87</v>
      </c>
      <c r="AJ472" t="s">
        <v>88</v>
      </c>
      <c r="AK472">
        <v>6912</v>
      </c>
      <c r="AL472" t="s">
        <v>44</v>
      </c>
      <c r="AM472">
        <v>3</v>
      </c>
      <c r="AN472">
        <v>3</v>
      </c>
      <c r="AO472">
        <v>2024</v>
      </c>
      <c r="AP472">
        <v>4</v>
      </c>
    </row>
    <row r="473" spans="1:42" x14ac:dyDescent="0.25">
      <c r="A473">
        <v>130.18</v>
      </c>
      <c r="B473">
        <v>1123.71</v>
      </c>
      <c r="C473">
        <v>926.52</v>
      </c>
      <c r="D473">
        <v>174.69</v>
      </c>
      <c r="F473">
        <v>2355.1</v>
      </c>
      <c r="G473">
        <v>597.14</v>
      </c>
      <c r="H473">
        <v>292.57</v>
      </c>
      <c r="I473">
        <v>156.91</v>
      </c>
      <c r="J473">
        <v>1046.6199999999999</v>
      </c>
      <c r="K473">
        <v>3401.72</v>
      </c>
      <c r="L473">
        <v>2338.38</v>
      </c>
      <c r="M473">
        <v>584.26</v>
      </c>
      <c r="O473">
        <v>4.3899999999999997</v>
      </c>
      <c r="P473">
        <v>2927.03</v>
      </c>
      <c r="Q473">
        <v>59.62</v>
      </c>
      <c r="R473">
        <v>37.61</v>
      </c>
      <c r="S473">
        <v>33.880000000000003</v>
      </c>
      <c r="T473">
        <v>1344.1</v>
      </c>
      <c r="V473">
        <v>66.19</v>
      </c>
      <c r="W473">
        <v>623.11</v>
      </c>
      <c r="X473">
        <v>2164.4899999999998</v>
      </c>
      <c r="Y473">
        <v>9</v>
      </c>
      <c r="Z473">
        <v>123.09</v>
      </c>
      <c r="AA473">
        <v>4749.22</v>
      </c>
      <c r="AD473">
        <v>956.77</v>
      </c>
      <c r="AE473">
        <v>14331.31</v>
      </c>
      <c r="AF473">
        <v>20370</v>
      </c>
      <c r="AG473" t="s">
        <v>81</v>
      </c>
      <c r="AH473" t="s">
        <v>82</v>
      </c>
      <c r="AI473" t="s">
        <v>81</v>
      </c>
      <c r="AJ473" t="s">
        <v>82</v>
      </c>
      <c r="AK473">
        <v>6683</v>
      </c>
      <c r="AL473" t="s">
        <v>44</v>
      </c>
      <c r="AM473">
        <v>3</v>
      </c>
      <c r="AN473">
        <v>3</v>
      </c>
      <c r="AO473">
        <v>2024</v>
      </c>
      <c r="AP473">
        <v>2</v>
      </c>
    </row>
    <row r="474" spans="1:42" x14ac:dyDescent="0.25">
      <c r="A474">
        <v>132.08000000000001</v>
      </c>
      <c r="B474">
        <v>539.48</v>
      </c>
      <c r="C474">
        <v>506.69</v>
      </c>
      <c r="D474">
        <v>163.28</v>
      </c>
      <c r="E474">
        <v>211.72</v>
      </c>
      <c r="F474">
        <v>1553.25</v>
      </c>
      <c r="G474">
        <v>0</v>
      </c>
      <c r="H474">
        <v>249.58</v>
      </c>
      <c r="I474">
        <v>180.03</v>
      </c>
      <c r="J474">
        <v>429.61</v>
      </c>
      <c r="K474">
        <v>1982.86</v>
      </c>
      <c r="L474">
        <v>2002.91</v>
      </c>
      <c r="M474">
        <v>182.52</v>
      </c>
      <c r="N474">
        <v>0</v>
      </c>
      <c r="O474">
        <v>0</v>
      </c>
      <c r="P474">
        <v>2185.4299999999998</v>
      </c>
      <c r="Q474">
        <v>0.93</v>
      </c>
      <c r="R474">
        <v>0</v>
      </c>
      <c r="S474">
        <v>251.59</v>
      </c>
      <c r="T474">
        <v>216.16</v>
      </c>
      <c r="U474">
        <v>0</v>
      </c>
      <c r="W474">
        <v>618.69000000000005</v>
      </c>
      <c r="X474">
        <v>1087.3699999999999</v>
      </c>
      <c r="Y474">
        <v>0</v>
      </c>
      <c r="Z474">
        <v>49.7</v>
      </c>
      <c r="AA474">
        <v>1519.29</v>
      </c>
      <c r="AB474">
        <v>0</v>
      </c>
      <c r="AC474">
        <v>1291.19</v>
      </c>
      <c r="AD474">
        <v>0</v>
      </c>
      <c r="AE474">
        <v>8115.83</v>
      </c>
      <c r="AF474">
        <v>20447</v>
      </c>
      <c r="AG474" t="s">
        <v>87</v>
      </c>
      <c r="AH474" t="s">
        <v>88</v>
      </c>
      <c r="AI474" t="s">
        <v>87</v>
      </c>
      <c r="AJ474" t="s">
        <v>88</v>
      </c>
      <c r="AK474">
        <v>16917</v>
      </c>
      <c r="AL474" t="s">
        <v>47</v>
      </c>
      <c r="AM474">
        <v>3</v>
      </c>
      <c r="AN474">
        <v>3</v>
      </c>
      <c r="AO474">
        <v>2024</v>
      </c>
      <c r="AP474">
        <v>1</v>
      </c>
    </row>
    <row r="475" spans="1:42" x14ac:dyDescent="0.25">
      <c r="A475">
        <v>133.4</v>
      </c>
      <c r="B475">
        <v>1181.01</v>
      </c>
      <c r="C475">
        <v>103.26</v>
      </c>
      <c r="D475">
        <v>75.510000000000005</v>
      </c>
      <c r="E475">
        <v>101.84</v>
      </c>
      <c r="F475">
        <v>1595.02</v>
      </c>
      <c r="G475">
        <v>33.549999999999997</v>
      </c>
      <c r="H475">
        <v>-11.8</v>
      </c>
      <c r="I475">
        <v>114.22</v>
      </c>
      <c r="J475">
        <v>135.96</v>
      </c>
      <c r="K475">
        <v>1730.99</v>
      </c>
      <c r="L475">
        <v>2971.52</v>
      </c>
      <c r="M475">
        <v>1175.2</v>
      </c>
      <c r="N475">
        <v>0</v>
      </c>
      <c r="O475">
        <v>0</v>
      </c>
      <c r="P475">
        <v>4146.7299999999996</v>
      </c>
      <c r="Q475">
        <v>0</v>
      </c>
      <c r="R475">
        <v>2.19</v>
      </c>
      <c r="S475">
        <v>0</v>
      </c>
      <c r="T475">
        <v>0</v>
      </c>
      <c r="U475">
        <v>0</v>
      </c>
      <c r="V475">
        <v>0</v>
      </c>
      <c r="W475">
        <v>1.69</v>
      </c>
      <c r="X475">
        <v>3.88</v>
      </c>
      <c r="Y475">
        <v>0</v>
      </c>
      <c r="Z475">
        <v>84.26</v>
      </c>
      <c r="AA475">
        <v>90.77</v>
      </c>
      <c r="AB475">
        <v>0</v>
      </c>
      <c r="AC475">
        <v>4.5199999999999996</v>
      </c>
      <c r="AD475">
        <v>0</v>
      </c>
      <c r="AE475">
        <v>6061.14</v>
      </c>
      <c r="AF475">
        <v>20166</v>
      </c>
      <c r="AG475" t="s">
        <v>89</v>
      </c>
      <c r="AH475" t="s">
        <v>90</v>
      </c>
      <c r="AI475" t="s">
        <v>89</v>
      </c>
      <c r="AJ475" t="s">
        <v>90</v>
      </c>
      <c r="AK475">
        <v>6565</v>
      </c>
      <c r="AL475" t="s">
        <v>44</v>
      </c>
      <c r="AM475">
        <v>1</v>
      </c>
      <c r="AN475">
        <v>1</v>
      </c>
      <c r="AO475">
        <v>2024</v>
      </c>
      <c r="AP475">
        <v>2</v>
      </c>
    </row>
    <row r="476" spans="1:42" x14ac:dyDescent="0.25">
      <c r="A476">
        <v>141.18</v>
      </c>
      <c r="B476">
        <v>0</v>
      </c>
      <c r="C476">
        <v>11.27</v>
      </c>
      <c r="D476">
        <v>35.18</v>
      </c>
      <c r="E476">
        <v>817.34</v>
      </c>
      <c r="F476">
        <v>1004.98</v>
      </c>
      <c r="G476">
        <v>96.96</v>
      </c>
      <c r="H476">
        <v>72.930000000000007</v>
      </c>
      <c r="I476">
        <v>35.07</v>
      </c>
      <c r="J476">
        <v>204.96</v>
      </c>
      <c r="K476">
        <v>1209.94</v>
      </c>
      <c r="L476">
        <v>7510.5</v>
      </c>
      <c r="M476">
        <v>11.55</v>
      </c>
      <c r="N476">
        <v>0</v>
      </c>
      <c r="O476">
        <v>198.93</v>
      </c>
      <c r="P476">
        <v>7720.97</v>
      </c>
      <c r="Q476">
        <v>616.30999999999995</v>
      </c>
      <c r="R476">
        <v>239.98</v>
      </c>
      <c r="S476">
        <v>0</v>
      </c>
      <c r="T476">
        <v>2037.75</v>
      </c>
      <c r="U476">
        <v>0</v>
      </c>
      <c r="V476">
        <v>38.799999999999997</v>
      </c>
      <c r="W476">
        <v>465.57</v>
      </c>
      <c r="X476">
        <v>3398.42</v>
      </c>
      <c r="Y476">
        <v>385.13</v>
      </c>
      <c r="Z476">
        <v>22152.19</v>
      </c>
      <c r="AA476">
        <v>97.68</v>
      </c>
      <c r="AB476">
        <v>0</v>
      </c>
      <c r="AC476">
        <v>61.65</v>
      </c>
      <c r="AD476">
        <v>939.84</v>
      </c>
      <c r="AE476">
        <v>35965.82</v>
      </c>
      <c r="AF476">
        <v>20100</v>
      </c>
      <c r="AG476" t="s">
        <v>51</v>
      </c>
      <c r="AH476" t="s">
        <v>52</v>
      </c>
      <c r="AI476" t="s">
        <v>51</v>
      </c>
      <c r="AJ476" t="s">
        <v>52</v>
      </c>
      <c r="AK476">
        <v>6758</v>
      </c>
      <c r="AL476" t="s">
        <v>44</v>
      </c>
      <c r="AM476">
        <v>3</v>
      </c>
      <c r="AN476">
        <v>3</v>
      </c>
      <c r="AO476">
        <v>2024</v>
      </c>
      <c r="AP476">
        <v>3</v>
      </c>
    </row>
    <row r="477" spans="1:42" x14ac:dyDescent="0.25">
      <c r="A477">
        <v>150.66</v>
      </c>
      <c r="B477">
        <v>416.36</v>
      </c>
      <c r="C477">
        <v>301.66000000000003</v>
      </c>
      <c r="D477">
        <v>233.05</v>
      </c>
      <c r="E477">
        <v>0</v>
      </c>
      <c r="F477">
        <v>1101.73</v>
      </c>
      <c r="G477">
        <v>153.75</v>
      </c>
      <c r="H477">
        <v>37.799999999999997</v>
      </c>
      <c r="I477">
        <v>99.69</v>
      </c>
      <c r="J477">
        <v>291.24</v>
      </c>
      <c r="K477">
        <v>1392.97</v>
      </c>
      <c r="L477">
        <v>733.42</v>
      </c>
      <c r="M477">
        <v>77.17</v>
      </c>
      <c r="N477">
        <v>21.72</v>
      </c>
      <c r="O477">
        <v>9.4700000000000006</v>
      </c>
      <c r="P477">
        <v>841.79</v>
      </c>
      <c r="Q477">
        <v>7.34</v>
      </c>
      <c r="R477">
        <v>20.47</v>
      </c>
      <c r="S477">
        <v>148.77000000000001</v>
      </c>
      <c r="T477">
        <v>288</v>
      </c>
      <c r="U477">
        <v>0</v>
      </c>
      <c r="V477">
        <v>0</v>
      </c>
      <c r="W477">
        <v>193.64</v>
      </c>
      <c r="X477">
        <v>658.22</v>
      </c>
      <c r="Y477">
        <v>38.75</v>
      </c>
      <c r="Z477">
        <v>13.09</v>
      </c>
      <c r="AA477">
        <v>0</v>
      </c>
      <c r="AB477">
        <v>202.75</v>
      </c>
      <c r="AC477">
        <v>769.6</v>
      </c>
      <c r="AD477">
        <v>0</v>
      </c>
      <c r="AE477">
        <v>3917.17</v>
      </c>
      <c r="AF477">
        <v>20310</v>
      </c>
      <c r="AG477" t="s">
        <v>71</v>
      </c>
      <c r="AH477" t="s">
        <v>72</v>
      </c>
      <c r="AI477" t="s">
        <v>71</v>
      </c>
      <c r="AJ477" t="s">
        <v>72</v>
      </c>
      <c r="AK477">
        <v>16076</v>
      </c>
      <c r="AL477" t="s">
        <v>47</v>
      </c>
      <c r="AM477">
        <v>1</v>
      </c>
      <c r="AN477">
        <v>1</v>
      </c>
      <c r="AO477">
        <v>2024</v>
      </c>
      <c r="AP477">
        <v>1</v>
      </c>
    </row>
    <row r="478" spans="1:42" x14ac:dyDescent="0.25">
      <c r="A478">
        <v>151</v>
      </c>
      <c r="B478">
        <v>40717</v>
      </c>
      <c r="C478">
        <v>3755</v>
      </c>
      <c r="D478">
        <v>16495</v>
      </c>
      <c r="E478">
        <v>11600</v>
      </c>
      <c r="F478">
        <v>72718</v>
      </c>
      <c r="G478">
        <v>5153</v>
      </c>
      <c r="H478">
        <v>19294</v>
      </c>
      <c r="I478">
        <v>4167</v>
      </c>
      <c r="J478">
        <v>28614</v>
      </c>
      <c r="K478">
        <v>101332</v>
      </c>
      <c r="L478">
        <v>51282</v>
      </c>
      <c r="M478">
        <v>3731</v>
      </c>
      <c r="N478">
        <v>631</v>
      </c>
      <c r="O478">
        <v>669</v>
      </c>
      <c r="P478">
        <v>56313</v>
      </c>
      <c r="Q478">
        <v>3937</v>
      </c>
      <c r="R478">
        <v>254</v>
      </c>
      <c r="S478">
        <v>586</v>
      </c>
      <c r="T478">
        <v>7942</v>
      </c>
      <c r="U478">
        <v>115</v>
      </c>
      <c r="V478">
        <v>25</v>
      </c>
      <c r="W478">
        <v>16697</v>
      </c>
      <c r="X478">
        <v>29556</v>
      </c>
      <c r="Y478">
        <v>6143</v>
      </c>
      <c r="Z478">
        <v>12424</v>
      </c>
      <c r="AA478">
        <v>12902</v>
      </c>
      <c r="AB478">
        <v>396</v>
      </c>
      <c r="AC478">
        <v>2900</v>
      </c>
      <c r="AD478">
        <v>1168</v>
      </c>
      <c r="AE478">
        <v>223134</v>
      </c>
      <c r="AF478">
        <v>19393</v>
      </c>
      <c r="AG478" t="s">
        <v>99</v>
      </c>
      <c r="AH478" t="s">
        <v>100</v>
      </c>
      <c r="AI478" t="s">
        <v>99</v>
      </c>
      <c r="AJ478" t="s">
        <v>100</v>
      </c>
      <c r="AK478">
        <v>11033</v>
      </c>
      <c r="AL478" t="s">
        <v>50</v>
      </c>
      <c r="AM478">
        <v>3</v>
      </c>
      <c r="AN478">
        <v>3</v>
      </c>
      <c r="AO478">
        <v>2024</v>
      </c>
      <c r="AP478">
        <v>2</v>
      </c>
    </row>
    <row r="479" spans="1:42" x14ac:dyDescent="0.25">
      <c r="A479">
        <v>151.72999999999999</v>
      </c>
      <c r="B479">
        <v>987.88</v>
      </c>
      <c r="C479">
        <v>174.3</v>
      </c>
      <c r="D479">
        <v>328.17</v>
      </c>
      <c r="E479">
        <v>124.1</v>
      </c>
      <c r="F479">
        <v>1766.18</v>
      </c>
      <c r="G479">
        <v>170.62</v>
      </c>
      <c r="H479">
        <v>386.07</v>
      </c>
      <c r="I479">
        <v>93.13</v>
      </c>
      <c r="J479">
        <v>649.82000000000005</v>
      </c>
      <c r="K479">
        <v>2416</v>
      </c>
      <c r="L479">
        <v>1667.71</v>
      </c>
      <c r="M479">
        <v>137.91999999999999</v>
      </c>
      <c r="N479">
        <v>84.85</v>
      </c>
      <c r="O479">
        <v>23.62</v>
      </c>
      <c r="P479">
        <v>1914.09</v>
      </c>
      <c r="Q479">
        <v>34.590000000000003</v>
      </c>
      <c r="R479">
        <v>94.11</v>
      </c>
      <c r="S479">
        <v>51.44</v>
      </c>
      <c r="T479">
        <v>159.65</v>
      </c>
      <c r="U479">
        <v>26.28</v>
      </c>
      <c r="V479">
        <v>0</v>
      </c>
      <c r="W479">
        <v>862.31</v>
      </c>
      <c r="X479">
        <v>1228.3900000000001</v>
      </c>
      <c r="Y479">
        <v>100.94</v>
      </c>
      <c r="Z479">
        <v>233.42</v>
      </c>
      <c r="AA479">
        <v>1844.02</v>
      </c>
      <c r="AB479">
        <v>772.51</v>
      </c>
      <c r="AC479">
        <v>97.51</v>
      </c>
      <c r="AD479">
        <v>3.57</v>
      </c>
      <c r="AE479">
        <v>8610.44</v>
      </c>
      <c r="AF479">
        <v>20422</v>
      </c>
      <c r="AG479" t="s">
        <v>93</v>
      </c>
      <c r="AH479" t="s">
        <v>94</v>
      </c>
      <c r="AI479" t="s">
        <v>93</v>
      </c>
      <c r="AJ479" t="s">
        <v>94</v>
      </c>
      <c r="AK479">
        <v>16795</v>
      </c>
      <c r="AL479" t="s">
        <v>50</v>
      </c>
      <c r="AM479">
        <v>3</v>
      </c>
      <c r="AN479">
        <v>3</v>
      </c>
      <c r="AO479">
        <v>2024</v>
      </c>
      <c r="AP479">
        <v>3</v>
      </c>
    </row>
    <row r="480" spans="1:42" x14ac:dyDescent="0.25">
      <c r="A480">
        <v>165.81</v>
      </c>
      <c r="B480">
        <v>1308.6300000000001</v>
      </c>
      <c r="C480">
        <v>598</v>
      </c>
      <c r="D480">
        <v>94.71</v>
      </c>
      <c r="E480">
        <v>114.62</v>
      </c>
      <c r="F480">
        <v>2281.77</v>
      </c>
      <c r="G480">
        <v>30.28</v>
      </c>
      <c r="H480">
        <v>9.74</v>
      </c>
      <c r="I480">
        <v>147.65</v>
      </c>
      <c r="J480">
        <v>187.67</v>
      </c>
      <c r="K480">
        <v>2469.44</v>
      </c>
      <c r="L480">
        <v>2969.05</v>
      </c>
      <c r="M480">
        <v>706.52</v>
      </c>
      <c r="N480">
        <v>0</v>
      </c>
      <c r="O480">
        <v>0</v>
      </c>
      <c r="P480">
        <v>3675.57</v>
      </c>
      <c r="Q480">
        <v>0</v>
      </c>
      <c r="R480">
        <v>2.2400000000000002</v>
      </c>
      <c r="S480">
        <v>0</v>
      </c>
      <c r="T480">
        <v>0</v>
      </c>
      <c r="U480">
        <v>0</v>
      </c>
      <c r="V480">
        <v>0</v>
      </c>
      <c r="W480">
        <v>0.01</v>
      </c>
      <c r="X480">
        <v>2.25</v>
      </c>
      <c r="Y480">
        <v>0</v>
      </c>
      <c r="Z480">
        <v>16.02</v>
      </c>
      <c r="AA480">
        <v>436.01</v>
      </c>
      <c r="AB480">
        <v>0</v>
      </c>
      <c r="AC480">
        <v>12.55</v>
      </c>
      <c r="AD480">
        <v>502.29</v>
      </c>
      <c r="AE480">
        <v>7114.13</v>
      </c>
      <c r="AF480">
        <v>20166</v>
      </c>
      <c r="AG480" t="s">
        <v>89</v>
      </c>
      <c r="AH480" t="s">
        <v>90</v>
      </c>
      <c r="AI480" t="s">
        <v>89</v>
      </c>
      <c r="AJ480" t="s">
        <v>90</v>
      </c>
      <c r="AK480">
        <v>6565</v>
      </c>
      <c r="AL480" t="s">
        <v>44</v>
      </c>
      <c r="AM480">
        <v>1</v>
      </c>
      <c r="AN480">
        <v>1</v>
      </c>
      <c r="AO480">
        <v>2024</v>
      </c>
      <c r="AP480">
        <v>1</v>
      </c>
    </row>
    <row r="481" spans="1:42" x14ac:dyDescent="0.25">
      <c r="A481">
        <v>166.87</v>
      </c>
      <c r="B481">
        <v>489.03</v>
      </c>
      <c r="C481">
        <v>651.20000000000005</v>
      </c>
      <c r="D481">
        <v>267.56</v>
      </c>
      <c r="E481">
        <v>84.36</v>
      </c>
      <c r="F481">
        <v>1659.02</v>
      </c>
      <c r="G481">
        <v>0</v>
      </c>
      <c r="H481">
        <v>205.36</v>
      </c>
      <c r="I481">
        <v>129.68</v>
      </c>
      <c r="J481">
        <v>335.04</v>
      </c>
      <c r="K481">
        <v>1994.06</v>
      </c>
      <c r="L481">
        <v>1643.67</v>
      </c>
      <c r="M481">
        <v>100.15</v>
      </c>
      <c r="N481">
        <v>0</v>
      </c>
      <c r="O481">
        <v>0</v>
      </c>
      <c r="P481">
        <v>1743.83</v>
      </c>
      <c r="Q481">
        <v>0.45</v>
      </c>
      <c r="R481">
        <v>0</v>
      </c>
      <c r="S481">
        <v>270.95</v>
      </c>
      <c r="T481">
        <v>215.4</v>
      </c>
      <c r="U481">
        <v>0</v>
      </c>
      <c r="W481">
        <v>357.4</v>
      </c>
      <c r="X481">
        <v>844.2</v>
      </c>
      <c r="Y481">
        <v>-1.17</v>
      </c>
      <c r="Z481">
        <v>65.55</v>
      </c>
      <c r="AA481">
        <v>1777.05</v>
      </c>
      <c r="AB481">
        <v>0</v>
      </c>
      <c r="AC481">
        <v>1603.47</v>
      </c>
      <c r="AD481">
        <v>0</v>
      </c>
      <c r="AE481">
        <v>8026.97</v>
      </c>
      <c r="AF481">
        <v>20447</v>
      </c>
      <c r="AG481" t="s">
        <v>87</v>
      </c>
      <c r="AH481" t="s">
        <v>88</v>
      </c>
      <c r="AI481" t="s">
        <v>87</v>
      </c>
      <c r="AJ481" t="s">
        <v>88</v>
      </c>
      <c r="AK481">
        <v>16917</v>
      </c>
      <c r="AL481" t="s">
        <v>47</v>
      </c>
      <c r="AM481">
        <v>3</v>
      </c>
      <c r="AN481">
        <v>3</v>
      </c>
      <c r="AO481">
        <v>2024</v>
      </c>
      <c r="AP481">
        <v>3</v>
      </c>
    </row>
    <row r="482" spans="1:42" x14ac:dyDescent="0.25">
      <c r="A482">
        <v>167.5</v>
      </c>
      <c r="B482">
        <v>1162.53</v>
      </c>
      <c r="C482">
        <v>946.6</v>
      </c>
      <c r="D482">
        <v>180.65</v>
      </c>
      <c r="F482">
        <v>2457.79</v>
      </c>
      <c r="G482">
        <v>637.99</v>
      </c>
      <c r="H482">
        <v>408.7</v>
      </c>
      <c r="I482">
        <v>141.35</v>
      </c>
      <c r="J482">
        <v>1188.04</v>
      </c>
      <c r="K482">
        <v>3645.32</v>
      </c>
      <c r="L482">
        <v>116.63</v>
      </c>
      <c r="M482">
        <v>656.96</v>
      </c>
      <c r="O482">
        <v>4.03</v>
      </c>
      <c r="P482">
        <v>777.62</v>
      </c>
      <c r="Q482">
        <v>58.24</v>
      </c>
      <c r="R482">
        <v>34.97</v>
      </c>
      <c r="S482">
        <v>31.93</v>
      </c>
      <c r="T482">
        <v>1063.46</v>
      </c>
      <c r="V482">
        <v>165.5</v>
      </c>
      <c r="W482">
        <v>300.60000000000002</v>
      </c>
      <c r="X482">
        <v>1654.69</v>
      </c>
      <c r="Y482">
        <v>5.25</v>
      </c>
      <c r="Z482">
        <v>122.24</v>
      </c>
      <c r="AA482">
        <v>4673.88</v>
      </c>
      <c r="AD482">
        <v>900.2</v>
      </c>
      <c r="AE482">
        <v>11779.2</v>
      </c>
      <c r="AF482">
        <v>20370</v>
      </c>
      <c r="AG482" t="s">
        <v>81</v>
      </c>
      <c r="AH482" t="s">
        <v>82</v>
      </c>
      <c r="AI482" t="s">
        <v>81</v>
      </c>
      <c r="AJ482" t="s">
        <v>82</v>
      </c>
      <c r="AK482">
        <v>6683</v>
      </c>
      <c r="AL482" t="s">
        <v>44</v>
      </c>
      <c r="AM482">
        <v>3</v>
      </c>
      <c r="AN482">
        <v>3</v>
      </c>
      <c r="AO482">
        <v>2024</v>
      </c>
      <c r="AP482">
        <v>3</v>
      </c>
    </row>
    <row r="483" spans="1:42" x14ac:dyDescent="0.25">
      <c r="A483">
        <v>172.99</v>
      </c>
      <c r="B483">
        <v>21025.279999999999</v>
      </c>
      <c r="C483">
        <v>1346.52</v>
      </c>
      <c r="D483">
        <v>3600.09</v>
      </c>
      <c r="E483">
        <v>3187.02</v>
      </c>
      <c r="F483">
        <v>29331.89</v>
      </c>
      <c r="G483">
        <v>1220.78</v>
      </c>
      <c r="H483">
        <v>1998.4</v>
      </c>
      <c r="I483">
        <v>978.89</v>
      </c>
      <c r="J483">
        <v>4198.07</v>
      </c>
      <c r="K483">
        <v>33529.96</v>
      </c>
      <c r="L483">
        <v>9046.67</v>
      </c>
      <c r="M483">
        <v>510.37</v>
      </c>
      <c r="N483">
        <v>2353.23</v>
      </c>
      <c r="O483">
        <v>381.2</v>
      </c>
      <c r="P483">
        <v>12291.47</v>
      </c>
      <c r="Q483">
        <v>789.94</v>
      </c>
      <c r="R483">
        <v>98.44</v>
      </c>
      <c r="S483">
        <v>324.68</v>
      </c>
      <c r="T483">
        <v>934.66</v>
      </c>
      <c r="U483">
        <v>296.52999999999997</v>
      </c>
      <c r="V483">
        <v>0</v>
      </c>
      <c r="W483">
        <v>11500.93</v>
      </c>
      <c r="X483">
        <v>13945.18</v>
      </c>
      <c r="Y483">
        <v>2579.16</v>
      </c>
      <c r="Z483">
        <v>3140.01</v>
      </c>
      <c r="AA483">
        <v>2891.96</v>
      </c>
      <c r="AB483">
        <v>696.81</v>
      </c>
      <c r="AC483">
        <v>1151.3</v>
      </c>
      <c r="AD483">
        <v>23.63</v>
      </c>
      <c r="AE483">
        <v>70249.48</v>
      </c>
      <c r="AF483">
        <v>20409</v>
      </c>
      <c r="AG483" t="s">
        <v>95</v>
      </c>
      <c r="AH483" t="s">
        <v>96</v>
      </c>
      <c r="AI483" t="s">
        <v>95</v>
      </c>
      <c r="AJ483" t="s">
        <v>96</v>
      </c>
      <c r="AK483">
        <v>10875</v>
      </c>
      <c r="AL483" t="s">
        <v>53</v>
      </c>
      <c r="AM483">
        <v>3</v>
      </c>
      <c r="AN483">
        <v>3</v>
      </c>
      <c r="AO483">
        <v>2024</v>
      </c>
      <c r="AP483">
        <v>4</v>
      </c>
    </row>
    <row r="484" spans="1:42" x14ac:dyDescent="0.25">
      <c r="A484">
        <v>173.78</v>
      </c>
      <c r="B484">
        <v>1122.18</v>
      </c>
      <c r="C484">
        <v>131.61000000000001</v>
      </c>
      <c r="D484">
        <v>90.69</v>
      </c>
      <c r="E484">
        <v>123.46</v>
      </c>
      <c r="F484">
        <v>1641.73</v>
      </c>
      <c r="G484">
        <v>80.959999999999994</v>
      </c>
      <c r="H484">
        <v>79.959999999999994</v>
      </c>
      <c r="I484">
        <v>122.12</v>
      </c>
      <c r="J484">
        <v>283.04000000000002</v>
      </c>
      <c r="K484">
        <v>1924.77</v>
      </c>
      <c r="L484">
        <v>487.51</v>
      </c>
      <c r="M484">
        <v>31.35</v>
      </c>
      <c r="N484">
        <v>0</v>
      </c>
      <c r="O484">
        <v>11.74</v>
      </c>
      <c r="P484">
        <v>530.6</v>
      </c>
      <c r="Q484">
        <v>0</v>
      </c>
      <c r="R484">
        <v>3.91</v>
      </c>
      <c r="S484">
        <v>0</v>
      </c>
      <c r="T484">
        <v>69.52</v>
      </c>
      <c r="U484">
        <v>0</v>
      </c>
      <c r="V484">
        <v>0</v>
      </c>
      <c r="W484">
        <v>7.67</v>
      </c>
      <c r="X484">
        <v>81.099999999999994</v>
      </c>
      <c r="Y484">
        <v>30.54</v>
      </c>
      <c r="Z484">
        <v>429.07</v>
      </c>
      <c r="AA484">
        <v>95.64</v>
      </c>
      <c r="AB484">
        <v>0</v>
      </c>
      <c r="AC484">
        <v>327.02999999999997</v>
      </c>
      <c r="AD484">
        <v>0</v>
      </c>
      <c r="AE484">
        <v>3418.74</v>
      </c>
      <c r="AF484">
        <v>20166</v>
      </c>
      <c r="AG484" t="s">
        <v>89</v>
      </c>
      <c r="AH484" t="s">
        <v>90</v>
      </c>
      <c r="AI484" t="s">
        <v>89</v>
      </c>
      <c r="AJ484" t="s">
        <v>90</v>
      </c>
      <c r="AK484">
        <v>6565</v>
      </c>
      <c r="AL484" t="s">
        <v>44</v>
      </c>
      <c r="AM484">
        <v>1</v>
      </c>
      <c r="AN484">
        <v>1</v>
      </c>
      <c r="AO484">
        <v>2024</v>
      </c>
      <c r="AP484">
        <v>3</v>
      </c>
    </row>
    <row r="485" spans="1:42" x14ac:dyDescent="0.25">
      <c r="A485">
        <v>177.5</v>
      </c>
      <c r="B485">
        <v>2146.54</v>
      </c>
      <c r="C485">
        <v>339.82</v>
      </c>
      <c r="D485">
        <v>33.549999999999997</v>
      </c>
      <c r="E485">
        <v>0</v>
      </c>
      <c r="F485">
        <v>2697.4</v>
      </c>
      <c r="G485">
        <v>474.51</v>
      </c>
      <c r="H485">
        <v>394.54</v>
      </c>
      <c r="I485">
        <v>230.84</v>
      </c>
      <c r="J485">
        <v>1099.8800000000001</v>
      </c>
      <c r="K485">
        <v>3797.28</v>
      </c>
      <c r="L485">
        <v>47.21</v>
      </c>
      <c r="M485">
        <v>473.37</v>
      </c>
      <c r="N485">
        <v>0.97</v>
      </c>
      <c r="O485">
        <v>81.040000000000006</v>
      </c>
      <c r="P485">
        <v>602.59</v>
      </c>
      <c r="Q485">
        <v>1.84</v>
      </c>
      <c r="R485">
        <v>0</v>
      </c>
      <c r="S485">
        <v>38.11</v>
      </c>
      <c r="T485">
        <v>603.29999999999995</v>
      </c>
      <c r="U485">
        <v>0</v>
      </c>
      <c r="V485">
        <v>0</v>
      </c>
      <c r="W485">
        <v>44.53</v>
      </c>
      <c r="X485">
        <v>687.78</v>
      </c>
      <c r="Y485">
        <v>2.21</v>
      </c>
      <c r="Z485">
        <v>119.5</v>
      </c>
      <c r="AA485">
        <v>284.49</v>
      </c>
      <c r="AB485">
        <v>12.15</v>
      </c>
      <c r="AC485">
        <v>333.31</v>
      </c>
      <c r="AD485">
        <v>0</v>
      </c>
      <c r="AE485">
        <v>5839.3</v>
      </c>
      <c r="AF485">
        <v>20304</v>
      </c>
      <c r="AG485" t="s">
        <v>103</v>
      </c>
      <c r="AH485" t="s">
        <v>104</v>
      </c>
      <c r="AI485" t="s">
        <v>103</v>
      </c>
      <c r="AJ485" t="s">
        <v>104</v>
      </c>
      <c r="AK485">
        <v>11025</v>
      </c>
      <c r="AL485" t="s">
        <v>50</v>
      </c>
      <c r="AM485">
        <v>3</v>
      </c>
      <c r="AN485">
        <v>3</v>
      </c>
      <c r="AO485">
        <v>2024</v>
      </c>
      <c r="AP485">
        <v>1</v>
      </c>
    </row>
    <row r="486" spans="1:42" x14ac:dyDescent="0.25">
      <c r="A486">
        <v>186.01</v>
      </c>
      <c r="B486">
        <v>614.41999999999996</v>
      </c>
      <c r="C486">
        <v>588.33000000000004</v>
      </c>
      <c r="D486">
        <v>189.17</v>
      </c>
      <c r="E486">
        <v>288.76</v>
      </c>
      <c r="F486">
        <v>1866.69</v>
      </c>
      <c r="G486">
        <v>0</v>
      </c>
      <c r="H486">
        <v>250.88</v>
      </c>
      <c r="I486">
        <v>152.51</v>
      </c>
      <c r="J486">
        <v>403.38</v>
      </c>
      <c r="K486">
        <v>2270.08</v>
      </c>
      <c r="L486">
        <v>3044.13</v>
      </c>
      <c r="M486">
        <v>232.22</v>
      </c>
      <c r="N486">
        <v>0</v>
      </c>
      <c r="O486">
        <v>0</v>
      </c>
      <c r="P486">
        <v>3276.35</v>
      </c>
      <c r="Q486">
        <v>0.37</v>
      </c>
      <c r="R486">
        <v>0</v>
      </c>
      <c r="S486">
        <v>326.31</v>
      </c>
      <c r="T486">
        <v>270.62</v>
      </c>
      <c r="U486">
        <v>0</v>
      </c>
      <c r="W486">
        <v>477.99</v>
      </c>
      <c r="X486">
        <v>1075.29</v>
      </c>
      <c r="Y486">
        <v>0</v>
      </c>
      <c r="Z486">
        <v>72.03</v>
      </c>
      <c r="AA486">
        <v>1827.39</v>
      </c>
      <c r="AB486">
        <v>0</v>
      </c>
      <c r="AC486">
        <v>1721.43</v>
      </c>
      <c r="AD486">
        <v>0</v>
      </c>
      <c r="AE486">
        <v>10242.56</v>
      </c>
      <c r="AF486">
        <v>20447</v>
      </c>
      <c r="AG486" t="s">
        <v>87</v>
      </c>
      <c r="AH486" t="s">
        <v>88</v>
      </c>
      <c r="AI486" t="s">
        <v>87</v>
      </c>
      <c r="AJ486" t="s">
        <v>88</v>
      </c>
      <c r="AK486">
        <v>16917</v>
      </c>
      <c r="AL486" t="s">
        <v>47</v>
      </c>
      <c r="AM486">
        <v>3</v>
      </c>
      <c r="AN486">
        <v>3</v>
      </c>
      <c r="AO486">
        <v>2024</v>
      </c>
      <c r="AP486">
        <v>2</v>
      </c>
    </row>
    <row r="487" spans="1:42" x14ac:dyDescent="0.25">
      <c r="A487">
        <v>191.59</v>
      </c>
      <c r="B487">
        <v>616.54</v>
      </c>
      <c r="C487">
        <v>852.58</v>
      </c>
      <c r="D487">
        <v>349.94</v>
      </c>
      <c r="E487">
        <v>127.96</v>
      </c>
      <c r="F487">
        <v>2138.61</v>
      </c>
      <c r="G487">
        <v>0</v>
      </c>
      <c r="H487">
        <v>154.08000000000001</v>
      </c>
      <c r="I487">
        <v>168.6</v>
      </c>
      <c r="J487">
        <v>322.68</v>
      </c>
      <c r="K487">
        <v>2461.29</v>
      </c>
      <c r="L487">
        <v>3052.72</v>
      </c>
      <c r="M487">
        <v>205.16</v>
      </c>
      <c r="N487">
        <v>0</v>
      </c>
      <c r="O487">
        <v>0</v>
      </c>
      <c r="P487">
        <v>3257.88</v>
      </c>
      <c r="Q487">
        <v>7.0000000000000007E-2</v>
      </c>
      <c r="R487">
        <v>0</v>
      </c>
      <c r="S487">
        <v>156.53</v>
      </c>
      <c r="T487">
        <v>118.67</v>
      </c>
      <c r="U487">
        <v>0</v>
      </c>
      <c r="W487">
        <v>746.98</v>
      </c>
      <c r="X487">
        <v>1022.24</v>
      </c>
      <c r="Y487">
        <v>3.71</v>
      </c>
      <c r="Z487">
        <v>97.31</v>
      </c>
      <c r="AA487">
        <v>2549.02</v>
      </c>
      <c r="AB487">
        <v>0</v>
      </c>
      <c r="AC487">
        <v>1921.94</v>
      </c>
      <c r="AD487">
        <v>0</v>
      </c>
      <c r="AE487">
        <v>11313.39</v>
      </c>
      <c r="AF487">
        <v>20447</v>
      </c>
      <c r="AG487" t="s">
        <v>87</v>
      </c>
      <c r="AH487" t="s">
        <v>88</v>
      </c>
      <c r="AI487" t="s">
        <v>87</v>
      </c>
      <c r="AJ487" t="s">
        <v>88</v>
      </c>
      <c r="AK487">
        <v>16917</v>
      </c>
      <c r="AL487" t="s">
        <v>47</v>
      </c>
      <c r="AM487">
        <v>3</v>
      </c>
      <c r="AN487">
        <v>3</v>
      </c>
      <c r="AO487">
        <v>2024</v>
      </c>
      <c r="AP487">
        <v>4</v>
      </c>
    </row>
    <row r="488" spans="1:42" x14ac:dyDescent="0.25">
      <c r="A488">
        <v>192.5</v>
      </c>
      <c r="B488">
        <v>1628.19</v>
      </c>
      <c r="C488">
        <v>672.57</v>
      </c>
      <c r="D488">
        <v>1228.9000000000001</v>
      </c>
      <c r="E488">
        <v>745.8</v>
      </c>
      <c r="F488">
        <v>4467.96</v>
      </c>
      <c r="G488">
        <v>518.16999999999996</v>
      </c>
      <c r="H488">
        <v>239.52</v>
      </c>
      <c r="I488">
        <v>383.24</v>
      </c>
      <c r="J488">
        <v>1140.93</v>
      </c>
      <c r="K488">
        <v>5608.89</v>
      </c>
      <c r="L488">
        <v>4636.5200000000004</v>
      </c>
      <c r="M488">
        <v>1707.96</v>
      </c>
      <c r="P488">
        <v>6344.48</v>
      </c>
      <c r="Q488">
        <v>0</v>
      </c>
      <c r="R488">
        <v>102.12</v>
      </c>
      <c r="S488">
        <v>324.82</v>
      </c>
      <c r="T488">
        <v>0</v>
      </c>
      <c r="V488">
        <v>0</v>
      </c>
      <c r="W488">
        <v>21.46</v>
      </c>
      <c r="X488">
        <v>448.4</v>
      </c>
      <c r="Y488">
        <v>391.5</v>
      </c>
      <c r="Z488">
        <v>2864.65</v>
      </c>
      <c r="AA488">
        <v>106.42</v>
      </c>
      <c r="AC488">
        <v>5134.28</v>
      </c>
      <c r="AD488">
        <v>0</v>
      </c>
      <c r="AE488">
        <v>20898.63</v>
      </c>
      <c r="AF488">
        <v>20195</v>
      </c>
      <c r="AG488" t="s">
        <v>83</v>
      </c>
      <c r="AH488" t="s">
        <v>84</v>
      </c>
      <c r="AI488" t="s">
        <v>83</v>
      </c>
      <c r="AJ488" t="s">
        <v>84</v>
      </c>
      <c r="AK488">
        <v>16884</v>
      </c>
      <c r="AL488" t="s">
        <v>47</v>
      </c>
      <c r="AM488">
        <v>2</v>
      </c>
      <c r="AN488">
        <v>2</v>
      </c>
      <c r="AO488">
        <v>2024</v>
      </c>
      <c r="AP488">
        <v>1</v>
      </c>
    </row>
    <row r="489" spans="1:42" x14ac:dyDescent="0.25">
      <c r="A489">
        <v>192.5</v>
      </c>
      <c r="B489">
        <v>1979.47</v>
      </c>
      <c r="C489">
        <v>907.64</v>
      </c>
      <c r="D489">
        <v>1138.5</v>
      </c>
      <c r="E489">
        <v>779.28</v>
      </c>
      <c r="F489">
        <v>4997.37</v>
      </c>
      <c r="G489">
        <v>793.89</v>
      </c>
      <c r="H489">
        <v>244.2</v>
      </c>
      <c r="I489">
        <v>439.95</v>
      </c>
      <c r="J489">
        <v>1478.04</v>
      </c>
      <c r="K489">
        <v>6475.41</v>
      </c>
      <c r="L489">
        <v>14956.9</v>
      </c>
      <c r="M489">
        <v>2477.5100000000002</v>
      </c>
      <c r="P489">
        <v>17434.41</v>
      </c>
      <c r="Q489">
        <v>0</v>
      </c>
      <c r="R489">
        <v>93.35</v>
      </c>
      <c r="S489">
        <v>324.70999999999998</v>
      </c>
      <c r="T489">
        <v>0</v>
      </c>
      <c r="V489">
        <v>0</v>
      </c>
      <c r="W489">
        <v>111.37</v>
      </c>
      <c r="X489">
        <v>529.42999999999995</v>
      </c>
      <c r="Y489">
        <v>627.13</v>
      </c>
      <c r="Z489">
        <v>5120.6499999999996</v>
      </c>
      <c r="AA489">
        <v>112.4</v>
      </c>
      <c r="AC489">
        <v>6502.19</v>
      </c>
      <c r="AD489">
        <v>0</v>
      </c>
      <c r="AE489">
        <v>36801.620000000003</v>
      </c>
      <c r="AF489">
        <v>20195</v>
      </c>
      <c r="AG489" t="s">
        <v>83</v>
      </c>
      <c r="AH489" t="s">
        <v>84</v>
      </c>
      <c r="AI489" t="s">
        <v>83</v>
      </c>
      <c r="AJ489" t="s">
        <v>84</v>
      </c>
      <c r="AK489">
        <v>16884</v>
      </c>
      <c r="AL489" t="s">
        <v>47</v>
      </c>
      <c r="AM489">
        <v>2</v>
      </c>
      <c r="AN489">
        <v>2</v>
      </c>
      <c r="AO489">
        <v>2024</v>
      </c>
      <c r="AP489">
        <v>2</v>
      </c>
    </row>
    <row r="490" spans="1:42" x14ac:dyDescent="0.25">
      <c r="A490">
        <v>198.54</v>
      </c>
      <c r="B490">
        <v>20014.8</v>
      </c>
      <c r="C490">
        <v>1272.3699999999999</v>
      </c>
      <c r="D490">
        <v>3374.1</v>
      </c>
      <c r="E490">
        <v>4130.7299999999996</v>
      </c>
      <c r="F490">
        <v>28990.53</v>
      </c>
      <c r="G490">
        <v>1200.79</v>
      </c>
      <c r="H490">
        <v>2099.8200000000002</v>
      </c>
      <c r="I490">
        <v>858.83</v>
      </c>
      <c r="J490">
        <v>4159.4399999999996</v>
      </c>
      <c r="K490">
        <v>33149.97</v>
      </c>
      <c r="L490">
        <v>9213.36</v>
      </c>
      <c r="M490">
        <v>378.45</v>
      </c>
      <c r="N490">
        <v>4093.1</v>
      </c>
      <c r="O490">
        <v>429.27</v>
      </c>
      <c r="P490">
        <v>14114.18</v>
      </c>
      <c r="Q490">
        <v>639.35</v>
      </c>
      <c r="R490">
        <v>89.2</v>
      </c>
      <c r="S490">
        <v>309.47000000000003</v>
      </c>
      <c r="T490">
        <v>951.49</v>
      </c>
      <c r="U490">
        <v>279.86</v>
      </c>
      <c r="V490">
        <v>0</v>
      </c>
      <c r="W490">
        <v>12575.54</v>
      </c>
      <c r="X490">
        <v>14844.9</v>
      </c>
      <c r="Y490">
        <v>3005.82</v>
      </c>
      <c r="Z490">
        <v>4258.7</v>
      </c>
      <c r="AA490">
        <v>2742.89</v>
      </c>
      <c r="AB490">
        <v>729.86</v>
      </c>
      <c r="AC490">
        <v>2088.0500000000002</v>
      </c>
      <c r="AD490">
        <v>19</v>
      </c>
      <c r="AE490">
        <v>74953.36</v>
      </c>
      <c r="AF490">
        <v>20409</v>
      </c>
      <c r="AG490" t="s">
        <v>95</v>
      </c>
      <c r="AH490" t="s">
        <v>96</v>
      </c>
      <c r="AI490" t="s">
        <v>95</v>
      </c>
      <c r="AJ490" t="s">
        <v>96</v>
      </c>
      <c r="AK490">
        <v>10875</v>
      </c>
      <c r="AL490" t="s">
        <v>53</v>
      </c>
      <c r="AM490">
        <v>3</v>
      </c>
      <c r="AN490">
        <v>3</v>
      </c>
      <c r="AO490">
        <v>2024</v>
      </c>
      <c r="AP490">
        <v>3</v>
      </c>
    </row>
    <row r="491" spans="1:42" x14ac:dyDescent="0.25">
      <c r="A491">
        <v>199</v>
      </c>
      <c r="B491">
        <v>1973.66</v>
      </c>
      <c r="C491">
        <v>837.28</v>
      </c>
      <c r="D491">
        <v>1039.69</v>
      </c>
      <c r="E491">
        <v>751.24</v>
      </c>
      <c r="F491">
        <v>4800.87</v>
      </c>
      <c r="G491">
        <v>1061.6500000000001</v>
      </c>
      <c r="H491">
        <v>231.01</v>
      </c>
      <c r="I491">
        <v>344.82</v>
      </c>
      <c r="J491">
        <v>1637.47</v>
      </c>
      <c r="K491">
        <v>6438.34</v>
      </c>
      <c r="L491">
        <v>12210.98</v>
      </c>
      <c r="M491">
        <v>1781.36</v>
      </c>
      <c r="P491">
        <v>13992.34</v>
      </c>
      <c r="Q491">
        <v>0</v>
      </c>
      <c r="R491">
        <v>79.75</v>
      </c>
      <c r="S491">
        <v>337.36</v>
      </c>
      <c r="T491">
        <v>0</v>
      </c>
      <c r="V491">
        <v>0</v>
      </c>
      <c r="W491">
        <v>23.14</v>
      </c>
      <c r="X491">
        <v>440.24</v>
      </c>
      <c r="Y491">
        <v>379.21</v>
      </c>
      <c r="Z491">
        <v>5762.2</v>
      </c>
      <c r="AA491">
        <v>70.94</v>
      </c>
      <c r="AC491">
        <v>4567.74</v>
      </c>
      <c r="AD491">
        <v>0</v>
      </c>
      <c r="AE491">
        <v>31651.02</v>
      </c>
      <c r="AF491">
        <v>20195</v>
      </c>
      <c r="AG491" t="s">
        <v>83</v>
      </c>
      <c r="AH491" t="s">
        <v>84</v>
      </c>
      <c r="AI491" t="s">
        <v>83</v>
      </c>
      <c r="AJ491" t="s">
        <v>84</v>
      </c>
      <c r="AK491">
        <v>16884</v>
      </c>
      <c r="AL491" t="s">
        <v>47</v>
      </c>
      <c r="AM491">
        <v>2</v>
      </c>
      <c r="AN491">
        <v>2</v>
      </c>
      <c r="AO491">
        <v>2024</v>
      </c>
      <c r="AP491">
        <v>3</v>
      </c>
    </row>
    <row r="492" spans="1:42" x14ac:dyDescent="0.25">
      <c r="A492">
        <v>203.92</v>
      </c>
      <c r="B492">
        <v>1423.47</v>
      </c>
      <c r="C492">
        <v>218.97</v>
      </c>
      <c r="D492">
        <v>459.45</v>
      </c>
      <c r="E492">
        <v>182.66</v>
      </c>
      <c r="F492">
        <v>2488.4699999999998</v>
      </c>
      <c r="G492">
        <v>257.69</v>
      </c>
      <c r="H492">
        <v>527.84</v>
      </c>
      <c r="I492">
        <v>157.18</v>
      </c>
      <c r="J492">
        <v>942.71</v>
      </c>
      <c r="K492">
        <v>3431.18</v>
      </c>
      <c r="L492">
        <v>2511.94</v>
      </c>
      <c r="M492">
        <v>103.51</v>
      </c>
      <c r="N492">
        <v>175.13</v>
      </c>
      <c r="O492">
        <v>29.89</v>
      </c>
      <c r="P492">
        <v>2820.48</v>
      </c>
      <c r="Q492">
        <v>57.78</v>
      </c>
      <c r="R492">
        <v>235.03</v>
      </c>
      <c r="S492">
        <v>71.739999999999995</v>
      </c>
      <c r="T492">
        <v>300.92</v>
      </c>
      <c r="U492">
        <v>41.55</v>
      </c>
      <c r="V492">
        <v>0</v>
      </c>
      <c r="W492">
        <v>1592.38</v>
      </c>
      <c r="X492">
        <v>2299.4</v>
      </c>
      <c r="Y492">
        <v>111.85</v>
      </c>
      <c r="Z492">
        <v>492.26</v>
      </c>
      <c r="AA492">
        <v>2126.08</v>
      </c>
      <c r="AB492">
        <v>846.73</v>
      </c>
      <c r="AC492">
        <v>422.02</v>
      </c>
      <c r="AD492">
        <v>3.78</v>
      </c>
      <c r="AE492">
        <v>12553.78</v>
      </c>
      <c r="AF492">
        <v>20422</v>
      </c>
      <c r="AG492" t="s">
        <v>93</v>
      </c>
      <c r="AH492" t="s">
        <v>94</v>
      </c>
      <c r="AI492" t="s">
        <v>93</v>
      </c>
      <c r="AJ492" t="s">
        <v>94</v>
      </c>
      <c r="AK492">
        <v>16795</v>
      </c>
      <c r="AL492" t="s">
        <v>50</v>
      </c>
      <c r="AM492">
        <v>3</v>
      </c>
      <c r="AN492">
        <v>3</v>
      </c>
      <c r="AO492">
        <v>2024</v>
      </c>
      <c r="AP492">
        <v>2</v>
      </c>
    </row>
    <row r="493" spans="1:42" x14ac:dyDescent="0.25">
      <c r="A493">
        <v>203.95</v>
      </c>
      <c r="B493">
        <v>597.70000000000005</v>
      </c>
      <c r="C493">
        <v>795.91</v>
      </c>
      <c r="D493">
        <v>327.01</v>
      </c>
      <c r="E493">
        <v>103.11</v>
      </c>
      <c r="F493">
        <v>2027.69</v>
      </c>
      <c r="G493">
        <v>0</v>
      </c>
      <c r="H493">
        <v>251</v>
      </c>
      <c r="I493">
        <v>158.49</v>
      </c>
      <c r="J493">
        <v>409.49</v>
      </c>
      <c r="K493">
        <v>2437.1799999999998</v>
      </c>
      <c r="L493">
        <v>2008.93</v>
      </c>
      <c r="M493">
        <v>122.41</v>
      </c>
      <c r="N493">
        <v>0</v>
      </c>
      <c r="O493">
        <v>0</v>
      </c>
      <c r="P493">
        <v>2131.34</v>
      </c>
      <c r="Q493">
        <v>0.55000000000000004</v>
      </c>
      <c r="R493">
        <v>0</v>
      </c>
      <c r="S493">
        <v>331.16</v>
      </c>
      <c r="T493">
        <v>263.27</v>
      </c>
      <c r="U493">
        <v>0</v>
      </c>
      <c r="W493">
        <v>436.82</v>
      </c>
      <c r="X493">
        <v>1031.8</v>
      </c>
      <c r="Y493">
        <v>-1.44</v>
      </c>
      <c r="Z493">
        <v>80.12</v>
      </c>
      <c r="AA493">
        <v>2171.9499999999998</v>
      </c>
      <c r="AB493">
        <v>0</v>
      </c>
      <c r="AC493">
        <v>1959.79</v>
      </c>
      <c r="AD493">
        <v>0</v>
      </c>
      <c r="AE493">
        <v>9810.74</v>
      </c>
      <c r="AF493">
        <v>20447</v>
      </c>
      <c r="AG493" t="s">
        <v>87</v>
      </c>
      <c r="AH493" t="s">
        <v>88</v>
      </c>
      <c r="AI493" t="s">
        <v>87</v>
      </c>
      <c r="AJ493" t="s">
        <v>88</v>
      </c>
      <c r="AK493">
        <v>6912</v>
      </c>
      <c r="AL493" t="s">
        <v>44</v>
      </c>
      <c r="AM493">
        <v>3</v>
      </c>
      <c r="AN493">
        <v>3</v>
      </c>
      <c r="AO493">
        <v>2024</v>
      </c>
      <c r="AP493">
        <v>3</v>
      </c>
    </row>
    <row r="494" spans="1:42" x14ac:dyDescent="0.25">
      <c r="A494">
        <v>213.95</v>
      </c>
      <c r="B494">
        <v>1580.63</v>
      </c>
      <c r="C494">
        <v>624.91999999999996</v>
      </c>
      <c r="D494">
        <v>267.56</v>
      </c>
      <c r="E494">
        <v>0</v>
      </c>
      <c r="F494">
        <v>2687.07</v>
      </c>
      <c r="G494">
        <v>660.96</v>
      </c>
      <c r="H494">
        <v>336.53</v>
      </c>
      <c r="I494">
        <v>190.44</v>
      </c>
      <c r="J494">
        <v>1187.93</v>
      </c>
      <c r="K494">
        <v>3875</v>
      </c>
      <c r="L494">
        <v>2258.8200000000002</v>
      </c>
      <c r="M494">
        <v>192.63</v>
      </c>
      <c r="N494">
        <v>124.67</v>
      </c>
      <c r="O494">
        <v>275.72000000000003</v>
      </c>
      <c r="P494">
        <v>2851.84</v>
      </c>
      <c r="Q494">
        <v>1</v>
      </c>
      <c r="R494">
        <v>18.79</v>
      </c>
      <c r="S494">
        <v>225.23</v>
      </c>
      <c r="T494">
        <v>244.03</v>
      </c>
      <c r="U494">
        <v>107.3</v>
      </c>
      <c r="V494">
        <v>0</v>
      </c>
      <c r="W494">
        <v>902.14</v>
      </c>
      <c r="X494">
        <v>1498.49</v>
      </c>
      <c r="Y494">
        <v>47.28</v>
      </c>
      <c r="Z494">
        <v>99.67</v>
      </c>
      <c r="AA494">
        <v>1696.27</v>
      </c>
      <c r="AB494">
        <v>75.650000000000006</v>
      </c>
      <c r="AC494">
        <v>-1595.89</v>
      </c>
      <c r="AD494">
        <v>0</v>
      </c>
      <c r="AE494">
        <v>8548.31</v>
      </c>
      <c r="AF494">
        <v>21492</v>
      </c>
      <c r="AG494" t="s">
        <v>91</v>
      </c>
      <c r="AH494" t="s">
        <v>92</v>
      </c>
      <c r="AI494" t="s">
        <v>91</v>
      </c>
      <c r="AJ494" t="s">
        <v>92</v>
      </c>
      <c r="AK494">
        <v>11019</v>
      </c>
      <c r="AL494" t="s">
        <v>47</v>
      </c>
      <c r="AM494">
        <v>1</v>
      </c>
      <c r="AN494">
        <v>1</v>
      </c>
      <c r="AO494">
        <v>2024</v>
      </c>
      <c r="AP494">
        <v>3</v>
      </c>
    </row>
    <row r="495" spans="1:42" x14ac:dyDescent="0.25">
      <c r="A495">
        <v>214.28</v>
      </c>
      <c r="B495">
        <v>1877.14</v>
      </c>
      <c r="C495">
        <v>483.95</v>
      </c>
      <c r="D495">
        <v>448.55</v>
      </c>
      <c r="E495">
        <v>0</v>
      </c>
      <c r="F495">
        <v>3023.92</v>
      </c>
      <c r="G495">
        <v>889.4</v>
      </c>
      <c r="H495">
        <v>292.18</v>
      </c>
      <c r="I495">
        <v>212.25</v>
      </c>
      <c r="J495">
        <v>1393.83</v>
      </c>
      <c r="K495">
        <v>4417.74</v>
      </c>
      <c r="L495">
        <v>1897.16</v>
      </c>
      <c r="M495">
        <v>231.37</v>
      </c>
      <c r="N495">
        <v>224.2</v>
      </c>
      <c r="O495">
        <v>209.86</v>
      </c>
      <c r="P495">
        <v>2562.6</v>
      </c>
      <c r="Q495">
        <v>1.35</v>
      </c>
      <c r="R495">
        <v>3.02</v>
      </c>
      <c r="S495">
        <v>240.39</v>
      </c>
      <c r="T495">
        <v>915.81</v>
      </c>
      <c r="U495">
        <v>59.01</v>
      </c>
      <c r="V495">
        <v>0</v>
      </c>
      <c r="W495">
        <v>1329.24</v>
      </c>
      <c r="X495">
        <v>2548.8200000000002</v>
      </c>
      <c r="Y495">
        <v>50.6</v>
      </c>
      <c r="Z495">
        <v>89.31</v>
      </c>
      <c r="AA495">
        <v>1504.53</v>
      </c>
      <c r="AB495">
        <v>67.930000000000007</v>
      </c>
      <c r="AC495">
        <v>-46.94</v>
      </c>
      <c r="AD495">
        <v>4.9000000000000004</v>
      </c>
      <c r="AE495">
        <v>11199.49</v>
      </c>
      <c r="AF495">
        <v>21492</v>
      </c>
      <c r="AG495" t="s">
        <v>91</v>
      </c>
      <c r="AH495" t="s">
        <v>92</v>
      </c>
      <c r="AI495" t="s">
        <v>91</v>
      </c>
      <c r="AJ495" t="s">
        <v>92</v>
      </c>
      <c r="AK495">
        <v>1159</v>
      </c>
      <c r="AL495" t="s">
        <v>44</v>
      </c>
      <c r="AM495">
        <v>1</v>
      </c>
      <c r="AN495">
        <v>1</v>
      </c>
      <c r="AO495">
        <v>2024</v>
      </c>
      <c r="AP495">
        <v>2</v>
      </c>
    </row>
    <row r="496" spans="1:42" x14ac:dyDescent="0.25">
      <c r="A496">
        <v>217.66</v>
      </c>
      <c r="B496">
        <v>1926.92</v>
      </c>
      <c r="C496">
        <v>168.47</v>
      </c>
      <c r="D496">
        <v>123.2</v>
      </c>
      <c r="E496">
        <v>166.17</v>
      </c>
      <c r="F496">
        <v>2602.41</v>
      </c>
      <c r="G496">
        <v>54.73</v>
      </c>
      <c r="H496">
        <v>-19.260000000000002</v>
      </c>
      <c r="I496">
        <v>186.36</v>
      </c>
      <c r="J496">
        <v>221.83</v>
      </c>
      <c r="K496">
        <v>2824.24</v>
      </c>
      <c r="L496">
        <v>544.67999999999995</v>
      </c>
      <c r="M496">
        <v>1917.44</v>
      </c>
      <c r="N496">
        <v>0</v>
      </c>
      <c r="O496">
        <v>0</v>
      </c>
      <c r="P496">
        <v>2462.12</v>
      </c>
      <c r="Q496">
        <v>0</v>
      </c>
      <c r="R496">
        <v>3.57</v>
      </c>
      <c r="S496">
        <v>0</v>
      </c>
      <c r="T496">
        <v>0</v>
      </c>
      <c r="U496">
        <v>0</v>
      </c>
      <c r="V496">
        <v>0</v>
      </c>
      <c r="W496">
        <v>2.76</v>
      </c>
      <c r="X496">
        <v>6.33</v>
      </c>
      <c r="Y496">
        <v>0</v>
      </c>
      <c r="Z496">
        <v>137.47</v>
      </c>
      <c r="AA496">
        <v>148.1</v>
      </c>
      <c r="AB496">
        <v>0</v>
      </c>
      <c r="AC496">
        <v>7.37</v>
      </c>
      <c r="AD496">
        <v>0</v>
      </c>
      <c r="AE496">
        <v>5585.63</v>
      </c>
      <c r="AF496">
        <v>20166</v>
      </c>
      <c r="AG496" t="s">
        <v>89</v>
      </c>
      <c r="AH496" t="s">
        <v>90</v>
      </c>
      <c r="AI496" t="s">
        <v>89</v>
      </c>
      <c r="AJ496" t="s">
        <v>90</v>
      </c>
      <c r="AK496">
        <v>16565</v>
      </c>
      <c r="AL496" t="s">
        <v>47</v>
      </c>
      <c r="AM496">
        <v>1</v>
      </c>
      <c r="AN496">
        <v>1</v>
      </c>
      <c r="AO496">
        <v>2024</v>
      </c>
      <c r="AP496">
        <v>2</v>
      </c>
    </row>
    <row r="497" spans="1:42" x14ac:dyDescent="0.25">
      <c r="A497">
        <v>226.17</v>
      </c>
      <c r="B497">
        <v>1355.01</v>
      </c>
      <c r="C497">
        <v>1704.95</v>
      </c>
      <c r="D497">
        <v>1097.5</v>
      </c>
      <c r="E497">
        <v>1124.25</v>
      </c>
      <c r="F497">
        <v>5507.88</v>
      </c>
      <c r="G497">
        <v>343.24</v>
      </c>
      <c r="H497">
        <v>351.64</v>
      </c>
      <c r="I497">
        <v>432.07</v>
      </c>
      <c r="J497">
        <v>1126.95</v>
      </c>
      <c r="K497">
        <v>6634.82</v>
      </c>
      <c r="L497">
        <v>3271.94</v>
      </c>
      <c r="M497">
        <v>1062.73</v>
      </c>
      <c r="O497">
        <v>393.8</v>
      </c>
      <c r="P497">
        <v>4728.47</v>
      </c>
      <c r="Q497">
        <v>18.84</v>
      </c>
      <c r="R497">
        <v>68.3</v>
      </c>
      <c r="S497">
        <v>553.79999999999995</v>
      </c>
      <c r="T497">
        <v>1189.1300000000001</v>
      </c>
      <c r="W497">
        <v>1409.59</v>
      </c>
      <c r="X497">
        <v>3239.65</v>
      </c>
      <c r="Y497">
        <v>155.69999999999999</v>
      </c>
      <c r="Z497">
        <v>2730.64</v>
      </c>
      <c r="AA497">
        <v>1383.36</v>
      </c>
      <c r="AC497">
        <v>155.35</v>
      </c>
      <c r="AD497">
        <v>135.22999999999999</v>
      </c>
      <c r="AE497">
        <v>19163.21</v>
      </c>
      <c r="AF497">
        <v>20408</v>
      </c>
      <c r="AG497" t="s">
        <v>101</v>
      </c>
      <c r="AH497" t="s">
        <v>102</v>
      </c>
      <c r="AI497" t="s">
        <v>101</v>
      </c>
      <c r="AJ497" t="s">
        <v>102</v>
      </c>
      <c r="AK497">
        <v>6860</v>
      </c>
      <c r="AL497" t="s">
        <v>44</v>
      </c>
      <c r="AM497">
        <v>1</v>
      </c>
      <c r="AN497">
        <v>1</v>
      </c>
      <c r="AO497">
        <v>2024</v>
      </c>
      <c r="AP497">
        <v>4</v>
      </c>
    </row>
    <row r="498" spans="1:42" x14ac:dyDescent="0.25">
      <c r="A498">
        <v>229.31</v>
      </c>
      <c r="B498">
        <v>23289.58</v>
      </c>
      <c r="C498">
        <v>1319.5</v>
      </c>
      <c r="D498">
        <v>3867.63</v>
      </c>
      <c r="E498">
        <v>3517.9</v>
      </c>
      <c r="F498">
        <v>32223.919999999998</v>
      </c>
      <c r="G498">
        <v>1437.11</v>
      </c>
      <c r="H498">
        <v>2275.17</v>
      </c>
      <c r="I498">
        <v>1265.73</v>
      </c>
      <c r="J498">
        <v>4978</v>
      </c>
      <c r="K498">
        <v>37201.919999999998</v>
      </c>
      <c r="L498">
        <v>10677.88</v>
      </c>
      <c r="M498">
        <v>454.99</v>
      </c>
      <c r="N498">
        <v>2583.9899999999998</v>
      </c>
      <c r="O498">
        <v>340.86</v>
      </c>
      <c r="P498">
        <v>14057.72</v>
      </c>
      <c r="Q498">
        <v>769.23</v>
      </c>
      <c r="R498">
        <v>110.66</v>
      </c>
      <c r="S498">
        <v>357.72</v>
      </c>
      <c r="T498">
        <v>1079.98</v>
      </c>
      <c r="U498">
        <v>302.02999999999997</v>
      </c>
      <c r="V498">
        <v>0</v>
      </c>
      <c r="W498">
        <v>11608.19</v>
      </c>
      <c r="X498">
        <v>14227.81</v>
      </c>
      <c r="Y498">
        <v>2543.84</v>
      </c>
      <c r="Z498">
        <v>3950.35</v>
      </c>
      <c r="AA498">
        <v>2997.58</v>
      </c>
      <c r="AB498">
        <v>752.11</v>
      </c>
      <c r="AC498">
        <v>1147.07</v>
      </c>
      <c r="AD498">
        <v>24.49</v>
      </c>
      <c r="AE498">
        <v>76902.880000000005</v>
      </c>
      <c r="AF498">
        <v>20409</v>
      </c>
      <c r="AG498" t="s">
        <v>95</v>
      </c>
      <c r="AH498" t="s">
        <v>96</v>
      </c>
      <c r="AI498" t="s">
        <v>95</v>
      </c>
      <c r="AJ498" t="s">
        <v>96</v>
      </c>
      <c r="AK498">
        <v>10875</v>
      </c>
      <c r="AL498" t="s">
        <v>53</v>
      </c>
      <c r="AM498">
        <v>3</v>
      </c>
      <c r="AN498">
        <v>3</v>
      </c>
      <c r="AO498">
        <v>2024</v>
      </c>
      <c r="AP498">
        <v>1</v>
      </c>
    </row>
    <row r="499" spans="1:42" x14ac:dyDescent="0.25">
      <c r="A499">
        <v>232.56</v>
      </c>
      <c r="B499">
        <v>1398.39</v>
      </c>
      <c r="C499">
        <v>669.11</v>
      </c>
      <c r="D499">
        <v>260.48</v>
      </c>
      <c r="E499">
        <v>0</v>
      </c>
      <c r="F499">
        <v>2560.5300000000002</v>
      </c>
      <c r="G499">
        <v>819.59</v>
      </c>
      <c r="H499">
        <v>311.98</v>
      </c>
      <c r="I499">
        <v>175.14</v>
      </c>
      <c r="J499">
        <v>1306.71</v>
      </c>
      <c r="K499">
        <v>3867.24</v>
      </c>
      <c r="L499">
        <v>2545.34</v>
      </c>
      <c r="M499">
        <v>139.07</v>
      </c>
      <c r="N499">
        <v>249.06</v>
      </c>
      <c r="O499">
        <v>206.82</v>
      </c>
      <c r="P499">
        <v>3140.29</v>
      </c>
      <c r="Q499">
        <v>0</v>
      </c>
      <c r="R499">
        <v>20.56</v>
      </c>
      <c r="S499">
        <v>247.95</v>
      </c>
      <c r="T499">
        <v>180.81</v>
      </c>
      <c r="U499">
        <v>169.64</v>
      </c>
      <c r="V499">
        <v>0</v>
      </c>
      <c r="W499">
        <v>1454.89</v>
      </c>
      <c r="X499">
        <v>2073.85</v>
      </c>
      <c r="Y499">
        <v>38.380000000000003</v>
      </c>
      <c r="Z499">
        <v>107.6</v>
      </c>
      <c r="AA499">
        <v>1873.38</v>
      </c>
      <c r="AB499">
        <v>80.72</v>
      </c>
      <c r="AC499">
        <v>218.01</v>
      </c>
      <c r="AD499">
        <v>0</v>
      </c>
      <c r="AE499">
        <v>11399.47</v>
      </c>
      <c r="AF499">
        <v>21492</v>
      </c>
      <c r="AG499" t="s">
        <v>91</v>
      </c>
      <c r="AH499" t="s">
        <v>92</v>
      </c>
      <c r="AI499" t="s">
        <v>91</v>
      </c>
      <c r="AJ499" t="s">
        <v>92</v>
      </c>
      <c r="AK499">
        <v>1159</v>
      </c>
      <c r="AL499" t="s">
        <v>44</v>
      </c>
      <c r="AM499">
        <v>1</v>
      </c>
      <c r="AN499">
        <v>1</v>
      </c>
      <c r="AO499">
        <v>2024</v>
      </c>
      <c r="AP499">
        <v>4</v>
      </c>
    </row>
    <row r="500" spans="1:42" x14ac:dyDescent="0.25">
      <c r="A500">
        <v>236.74</v>
      </c>
      <c r="B500">
        <v>781.99</v>
      </c>
      <c r="C500">
        <v>748.78</v>
      </c>
      <c r="D500">
        <v>240.77</v>
      </c>
      <c r="E500">
        <v>367.51</v>
      </c>
      <c r="F500">
        <v>2375.79</v>
      </c>
      <c r="G500">
        <v>0</v>
      </c>
      <c r="H500">
        <v>319.3</v>
      </c>
      <c r="I500">
        <v>194.1</v>
      </c>
      <c r="J500">
        <v>513.4</v>
      </c>
      <c r="K500">
        <v>2889.19</v>
      </c>
      <c r="L500">
        <v>3874.34</v>
      </c>
      <c r="M500">
        <v>295.55</v>
      </c>
      <c r="N500">
        <v>0</v>
      </c>
      <c r="O500">
        <v>0</v>
      </c>
      <c r="P500">
        <v>4169.8999999999996</v>
      </c>
      <c r="Q500">
        <v>0.47</v>
      </c>
      <c r="R500">
        <v>0</v>
      </c>
      <c r="S500">
        <v>415.3</v>
      </c>
      <c r="T500">
        <v>344.42</v>
      </c>
      <c r="U500">
        <v>0</v>
      </c>
      <c r="W500">
        <v>608.36</v>
      </c>
      <c r="X500">
        <v>1368.56</v>
      </c>
      <c r="Y500">
        <v>0</v>
      </c>
      <c r="Z500">
        <v>91.68</v>
      </c>
      <c r="AA500">
        <v>2325.7600000000002</v>
      </c>
      <c r="AB500">
        <v>0</v>
      </c>
      <c r="AC500">
        <v>2190.91</v>
      </c>
      <c r="AD500">
        <v>0</v>
      </c>
      <c r="AE500">
        <v>13035.99</v>
      </c>
      <c r="AF500">
        <v>20447</v>
      </c>
      <c r="AG500" t="s">
        <v>87</v>
      </c>
      <c r="AH500" t="s">
        <v>88</v>
      </c>
      <c r="AI500" t="s">
        <v>87</v>
      </c>
      <c r="AJ500" t="s">
        <v>88</v>
      </c>
      <c r="AK500">
        <v>6912</v>
      </c>
      <c r="AL500" t="s">
        <v>44</v>
      </c>
      <c r="AM500">
        <v>3</v>
      </c>
      <c r="AN500">
        <v>3</v>
      </c>
      <c r="AO500">
        <v>2024</v>
      </c>
      <c r="AP500">
        <v>2</v>
      </c>
    </row>
    <row r="501" spans="1:42" x14ac:dyDescent="0.25">
      <c r="A501">
        <v>240.04</v>
      </c>
      <c r="B501">
        <v>2108.15</v>
      </c>
      <c r="C501">
        <v>989.41</v>
      </c>
      <c r="D501">
        <v>1016.32</v>
      </c>
      <c r="E501">
        <v>824.85</v>
      </c>
      <c r="F501">
        <v>5178.76</v>
      </c>
      <c r="G501">
        <v>884.64</v>
      </c>
      <c r="H501">
        <v>222.81</v>
      </c>
      <c r="I501">
        <v>326.68</v>
      </c>
      <c r="J501">
        <v>1434.13</v>
      </c>
      <c r="K501">
        <v>6612.89</v>
      </c>
      <c r="L501">
        <v>13128.77</v>
      </c>
      <c r="M501">
        <v>2182.17</v>
      </c>
      <c r="P501">
        <v>15310.95</v>
      </c>
      <c r="Q501">
        <v>0</v>
      </c>
      <c r="R501">
        <v>119.52</v>
      </c>
      <c r="S501">
        <v>570.95000000000005</v>
      </c>
      <c r="T501">
        <v>0</v>
      </c>
      <c r="V501">
        <v>0</v>
      </c>
      <c r="W501">
        <v>52.8</v>
      </c>
      <c r="X501">
        <v>743.26</v>
      </c>
      <c r="Y501">
        <v>435.76</v>
      </c>
      <c r="Z501">
        <v>5976.05</v>
      </c>
      <c r="AA501">
        <v>114.43</v>
      </c>
      <c r="AC501">
        <v>5493.39</v>
      </c>
      <c r="AD501">
        <v>0</v>
      </c>
      <c r="AE501">
        <v>34686.720000000001</v>
      </c>
      <c r="AF501">
        <v>20195</v>
      </c>
      <c r="AG501" t="s">
        <v>83</v>
      </c>
      <c r="AH501" t="s">
        <v>84</v>
      </c>
      <c r="AI501" t="s">
        <v>83</v>
      </c>
      <c r="AJ501" t="s">
        <v>84</v>
      </c>
      <c r="AK501">
        <v>16884</v>
      </c>
      <c r="AL501" t="s">
        <v>47</v>
      </c>
      <c r="AM501">
        <v>2</v>
      </c>
      <c r="AN501">
        <v>2</v>
      </c>
      <c r="AO501">
        <v>2024</v>
      </c>
      <c r="AP501">
        <v>4</v>
      </c>
    </row>
    <row r="502" spans="1:42" x14ac:dyDescent="0.25">
      <c r="A502">
        <v>251</v>
      </c>
      <c r="B502">
        <v>14304</v>
      </c>
      <c r="C502">
        <v>1696</v>
      </c>
      <c r="D502">
        <v>3248</v>
      </c>
      <c r="E502">
        <v>7871</v>
      </c>
      <c r="F502">
        <v>27370</v>
      </c>
      <c r="G502">
        <v>2677</v>
      </c>
      <c r="H502">
        <v>7513</v>
      </c>
      <c r="I502">
        <v>1559</v>
      </c>
      <c r="J502">
        <v>11749</v>
      </c>
      <c r="K502">
        <v>39119</v>
      </c>
      <c r="L502">
        <v>22836</v>
      </c>
      <c r="M502">
        <v>647</v>
      </c>
      <c r="N502">
        <v>2552</v>
      </c>
      <c r="O502">
        <v>2105</v>
      </c>
      <c r="P502">
        <v>28140</v>
      </c>
      <c r="Q502">
        <v>895</v>
      </c>
      <c r="R502">
        <v>308</v>
      </c>
      <c r="S502">
        <v>185</v>
      </c>
      <c r="T502">
        <v>4718</v>
      </c>
      <c r="U502">
        <v>289</v>
      </c>
      <c r="V502">
        <v>0</v>
      </c>
      <c r="W502">
        <v>9347</v>
      </c>
      <c r="X502">
        <v>15742</v>
      </c>
      <c r="Y502">
        <v>2166</v>
      </c>
      <c r="Z502">
        <v>5841</v>
      </c>
      <c r="AA502">
        <v>5292</v>
      </c>
      <c r="AB502">
        <v>0</v>
      </c>
      <c r="AC502">
        <v>860</v>
      </c>
      <c r="AD502">
        <v>0</v>
      </c>
      <c r="AE502">
        <v>97160</v>
      </c>
      <c r="AF502">
        <v>19930</v>
      </c>
      <c r="AG502" t="s">
        <v>107</v>
      </c>
      <c r="AH502" t="s">
        <v>108</v>
      </c>
      <c r="AI502" t="s">
        <v>107</v>
      </c>
      <c r="AJ502" t="s">
        <v>108</v>
      </c>
      <c r="AK502">
        <v>16031</v>
      </c>
      <c r="AL502" t="s">
        <v>50</v>
      </c>
      <c r="AM502">
        <v>3</v>
      </c>
      <c r="AN502">
        <v>3</v>
      </c>
      <c r="AO502">
        <v>2024</v>
      </c>
      <c r="AP502">
        <v>3</v>
      </c>
    </row>
    <row r="503" spans="1:42" x14ac:dyDescent="0.25">
      <c r="A503">
        <v>257.68</v>
      </c>
      <c r="B503">
        <v>1549.42</v>
      </c>
      <c r="C503">
        <v>741.38</v>
      </c>
      <c r="D503">
        <v>288.61</v>
      </c>
      <c r="E503">
        <v>0</v>
      </c>
      <c r="F503">
        <v>2837.08</v>
      </c>
      <c r="G503">
        <v>908.11</v>
      </c>
      <c r="H503">
        <v>345.68</v>
      </c>
      <c r="I503">
        <v>194.06</v>
      </c>
      <c r="J503">
        <v>1447.84</v>
      </c>
      <c r="K503">
        <v>4284.93</v>
      </c>
      <c r="L503">
        <v>3040.89</v>
      </c>
      <c r="M503">
        <v>154.09</v>
      </c>
      <c r="N503">
        <v>275.95999999999998</v>
      </c>
      <c r="O503">
        <v>324.19</v>
      </c>
      <c r="P503">
        <v>3795.13</v>
      </c>
      <c r="Q503">
        <v>0</v>
      </c>
      <c r="R503">
        <v>22.77</v>
      </c>
      <c r="S503">
        <v>274.73</v>
      </c>
      <c r="T503">
        <v>200.33</v>
      </c>
      <c r="U503">
        <v>180.92</v>
      </c>
      <c r="V503">
        <v>0</v>
      </c>
      <c r="W503">
        <v>1612.03</v>
      </c>
      <c r="X503">
        <v>2290.8000000000002</v>
      </c>
      <c r="Y503">
        <v>42.52</v>
      </c>
      <c r="Z503">
        <v>119.22</v>
      </c>
      <c r="AA503">
        <v>2075.71</v>
      </c>
      <c r="AB503">
        <v>89.44</v>
      </c>
      <c r="AC503">
        <v>461.37</v>
      </c>
      <c r="AD503">
        <v>0</v>
      </c>
      <c r="AE503">
        <v>13159.12</v>
      </c>
      <c r="AF503">
        <v>21492</v>
      </c>
      <c r="AG503" t="s">
        <v>91</v>
      </c>
      <c r="AH503" t="s">
        <v>92</v>
      </c>
      <c r="AI503" t="s">
        <v>91</v>
      </c>
      <c r="AJ503" t="s">
        <v>92</v>
      </c>
      <c r="AK503">
        <v>11019</v>
      </c>
      <c r="AL503" t="s">
        <v>47</v>
      </c>
      <c r="AM503">
        <v>1</v>
      </c>
      <c r="AN503">
        <v>1</v>
      </c>
      <c r="AO503">
        <v>2024</v>
      </c>
      <c r="AP503">
        <v>4</v>
      </c>
    </row>
    <row r="504" spans="1:42" x14ac:dyDescent="0.25">
      <c r="A504">
        <v>259.68</v>
      </c>
      <c r="B504">
        <v>1676.87</v>
      </c>
      <c r="C504">
        <v>196.67</v>
      </c>
      <c r="D504">
        <v>135.52000000000001</v>
      </c>
      <c r="E504">
        <v>184.49</v>
      </c>
      <c r="F504">
        <v>2453.23</v>
      </c>
      <c r="G504">
        <v>120.98</v>
      </c>
      <c r="H504">
        <v>119.48</v>
      </c>
      <c r="I504">
        <v>182.48</v>
      </c>
      <c r="J504">
        <v>422.94</v>
      </c>
      <c r="K504">
        <v>2876.17</v>
      </c>
      <c r="L504">
        <v>726.59</v>
      </c>
      <c r="M504">
        <v>46.85</v>
      </c>
      <c r="N504">
        <v>0</v>
      </c>
      <c r="O504">
        <v>17.54</v>
      </c>
      <c r="P504">
        <v>790.98</v>
      </c>
      <c r="Q504">
        <v>0</v>
      </c>
      <c r="R504">
        <v>5.84</v>
      </c>
      <c r="S504">
        <v>0</v>
      </c>
      <c r="T504">
        <v>103.88</v>
      </c>
      <c r="U504">
        <v>0</v>
      </c>
      <c r="V504">
        <v>0</v>
      </c>
      <c r="W504">
        <v>11.46</v>
      </c>
      <c r="X504">
        <v>121.19</v>
      </c>
      <c r="Y504">
        <v>45.63</v>
      </c>
      <c r="Z504">
        <v>641.15</v>
      </c>
      <c r="AA504">
        <v>142.91</v>
      </c>
      <c r="AB504">
        <v>0</v>
      </c>
      <c r="AC504">
        <v>490.57</v>
      </c>
      <c r="AD504">
        <v>0</v>
      </c>
      <c r="AE504">
        <v>5108.6000000000004</v>
      </c>
      <c r="AF504">
        <v>20166</v>
      </c>
      <c r="AG504" t="s">
        <v>89</v>
      </c>
      <c r="AH504" t="s">
        <v>90</v>
      </c>
      <c r="AI504" t="s">
        <v>89</v>
      </c>
      <c r="AJ504" t="s">
        <v>90</v>
      </c>
      <c r="AK504">
        <v>16565</v>
      </c>
      <c r="AL504" t="s">
        <v>47</v>
      </c>
      <c r="AM504">
        <v>1</v>
      </c>
      <c r="AN504">
        <v>1</v>
      </c>
      <c r="AO504">
        <v>2024</v>
      </c>
      <c r="AP504">
        <v>3</v>
      </c>
    </row>
    <row r="505" spans="1:42" x14ac:dyDescent="0.25">
      <c r="A505">
        <v>262</v>
      </c>
      <c r="B505">
        <v>33691</v>
      </c>
      <c r="C505">
        <v>2916</v>
      </c>
      <c r="D505">
        <v>12997</v>
      </c>
      <c r="E505">
        <v>9152</v>
      </c>
      <c r="F505">
        <v>59018</v>
      </c>
      <c r="G505">
        <v>4033</v>
      </c>
      <c r="H505">
        <v>17540</v>
      </c>
      <c r="I505">
        <v>3327</v>
      </c>
      <c r="J505">
        <v>24900</v>
      </c>
      <c r="K505">
        <v>83918</v>
      </c>
      <c r="L505">
        <v>31268</v>
      </c>
      <c r="M505">
        <v>2584</v>
      </c>
      <c r="N505">
        <v>480</v>
      </c>
      <c r="O505">
        <v>483</v>
      </c>
      <c r="P505">
        <v>34815</v>
      </c>
      <c r="Q505">
        <v>1310</v>
      </c>
      <c r="R505">
        <v>179</v>
      </c>
      <c r="S505">
        <v>465</v>
      </c>
      <c r="T505">
        <v>5733</v>
      </c>
      <c r="U505">
        <v>53</v>
      </c>
      <c r="V505">
        <v>20</v>
      </c>
      <c r="W505">
        <v>13502</v>
      </c>
      <c r="X505">
        <v>21262</v>
      </c>
      <c r="Y505">
        <v>4791</v>
      </c>
      <c r="Z505">
        <v>9505</v>
      </c>
      <c r="AA505">
        <v>9719</v>
      </c>
      <c r="AB505">
        <v>307</v>
      </c>
      <c r="AC505">
        <v>-702</v>
      </c>
      <c r="AD505">
        <v>890</v>
      </c>
      <c r="AE505">
        <v>164505</v>
      </c>
      <c r="AF505">
        <v>19393</v>
      </c>
      <c r="AG505" t="s">
        <v>99</v>
      </c>
      <c r="AH505" t="s">
        <v>100</v>
      </c>
      <c r="AI505" t="s">
        <v>99</v>
      </c>
      <c r="AJ505" t="s">
        <v>100</v>
      </c>
      <c r="AK505">
        <v>11033</v>
      </c>
      <c r="AL505" t="s">
        <v>50</v>
      </c>
      <c r="AM505">
        <v>3</v>
      </c>
      <c r="AN505">
        <v>3</v>
      </c>
      <c r="AO505">
        <v>2024</v>
      </c>
      <c r="AP505">
        <v>4</v>
      </c>
    </row>
    <row r="506" spans="1:42" x14ac:dyDescent="0.25">
      <c r="A506">
        <v>264.57</v>
      </c>
      <c r="B506">
        <v>57595.56</v>
      </c>
      <c r="C506">
        <v>16555.13</v>
      </c>
      <c r="D506">
        <v>16912.03</v>
      </c>
      <c r="E506">
        <v>18977.939999999999</v>
      </c>
      <c r="F506">
        <v>110305.23</v>
      </c>
      <c r="G506">
        <v>9042.61</v>
      </c>
      <c r="H506">
        <v>31283.19</v>
      </c>
      <c r="I506">
        <v>5887.44</v>
      </c>
      <c r="J506">
        <v>46213.24</v>
      </c>
      <c r="K506">
        <v>156518.47</v>
      </c>
      <c r="L506">
        <v>89938.79</v>
      </c>
      <c r="M506">
        <v>12762.09</v>
      </c>
      <c r="N506">
        <v>12010.44</v>
      </c>
      <c r="O506">
        <v>584.01</v>
      </c>
      <c r="P506">
        <v>115295.32</v>
      </c>
      <c r="Q506">
        <v>1320.02</v>
      </c>
      <c r="R506">
        <v>4755.6400000000003</v>
      </c>
      <c r="S506">
        <v>753.03</v>
      </c>
      <c r="T506">
        <v>22847.78</v>
      </c>
      <c r="U506">
        <v>2456.6</v>
      </c>
      <c r="V506">
        <v>0</v>
      </c>
      <c r="W506">
        <v>39034.980000000003</v>
      </c>
      <c r="X506">
        <v>71168.05</v>
      </c>
      <c r="Y506">
        <v>9900.67</v>
      </c>
      <c r="Z506">
        <v>31913.65</v>
      </c>
      <c r="AA506">
        <v>16212.72</v>
      </c>
      <c r="AB506">
        <v>973.09</v>
      </c>
      <c r="AC506">
        <v>26553.49</v>
      </c>
      <c r="AD506">
        <v>1353.56</v>
      </c>
      <c r="AE506">
        <v>429889.03</v>
      </c>
      <c r="AF506">
        <v>19805</v>
      </c>
      <c r="AG506" t="s">
        <v>105</v>
      </c>
      <c r="AH506" t="s">
        <v>106</v>
      </c>
      <c r="AI506" t="s">
        <v>105</v>
      </c>
      <c r="AJ506" t="s">
        <v>106</v>
      </c>
      <c r="AK506">
        <v>10052</v>
      </c>
      <c r="AL506" t="s">
        <v>64</v>
      </c>
      <c r="AM506">
        <v>3</v>
      </c>
      <c r="AN506">
        <v>3</v>
      </c>
      <c r="AO506">
        <v>2024</v>
      </c>
      <c r="AP506">
        <v>3</v>
      </c>
    </row>
    <row r="507" spans="1:42" x14ac:dyDescent="0.25">
      <c r="A507">
        <v>266.39999999999998</v>
      </c>
      <c r="B507">
        <v>51176.58</v>
      </c>
      <c r="C507">
        <v>13979.06</v>
      </c>
      <c r="D507">
        <v>14697.12</v>
      </c>
      <c r="E507">
        <v>15691.89</v>
      </c>
      <c r="F507">
        <v>95811.05</v>
      </c>
      <c r="G507">
        <v>8195.49</v>
      </c>
      <c r="H507">
        <v>24240.2</v>
      </c>
      <c r="I507">
        <v>5830.23</v>
      </c>
      <c r="J507">
        <v>38265.919999999998</v>
      </c>
      <c r="K507">
        <v>134076.97</v>
      </c>
      <c r="L507">
        <v>83520.19</v>
      </c>
      <c r="M507">
        <v>11872.85</v>
      </c>
      <c r="N507">
        <v>10364.030000000001</v>
      </c>
      <c r="O507">
        <v>688.44</v>
      </c>
      <c r="P507">
        <v>106445.52</v>
      </c>
      <c r="Q507">
        <v>958.82</v>
      </c>
      <c r="R507">
        <v>4154.67</v>
      </c>
      <c r="S507">
        <v>692.71</v>
      </c>
      <c r="T507">
        <v>18428.18</v>
      </c>
      <c r="U507">
        <v>1695.34</v>
      </c>
      <c r="V507">
        <v>0</v>
      </c>
      <c r="W507">
        <v>34272.050000000003</v>
      </c>
      <c r="X507">
        <v>60201.760000000002</v>
      </c>
      <c r="Y507">
        <v>9139.94</v>
      </c>
      <c r="Z507">
        <v>27494.71</v>
      </c>
      <c r="AA507">
        <v>14173.44</v>
      </c>
      <c r="AB507">
        <v>862.69</v>
      </c>
      <c r="AC507">
        <v>4472.22</v>
      </c>
      <c r="AD507">
        <v>1238.27</v>
      </c>
      <c r="AE507">
        <v>358105.52</v>
      </c>
      <c r="AF507">
        <v>19805</v>
      </c>
      <c r="AG507" t="s">
        <v>105</v>
      </c>
      <c r="AH507" t="s">
        <v>106</v>
      </c>
      <c r="AI507" t="s">
        <v>105</v>
      </c>
      <c r="AJ507" t="s">
        <v>106</v>
      </c>
      <c r="AK507">
        <v>10052</v>
      </c>
      <c r="AL507" t="s">
        <v>64</v>
      </c>
      <c r="AM507">
        <v>3</v>
      </c>
      <c r="AN507">
        <v>3</v>
      </c>
      <c r="AO507">
        <v>2024</v>
      </c>
      <c r="AP507">
        <v>2</v>
      </c>
    </row>
    <row r="508" spans="1:42" x14ac:dyDescent="0.25">
      <c r="A508">
        <v>268.14999999999998</v>
      </c>
      <c r="B508">
        <v>1095.3</v>
      </c>
      <c r="C508">
        <v>1028.74</v>
      </c>
      <c r="D508">
        <v>331.52</v>
      </c>
      <c r="E508">
        <v>429.85</v>
      </c>
      <c r="F508">
        <v>3153.56</v>
      </c>
      <c r="G508">
        <v>0</v>
      </c>
      <c r="H508">
        <v>506.72</v>
      </c>
      <c r="I508">
        <v>365.51</v>
      </c>
      <c r="J508">
        <v>872.23</v>
      </c>
      <c r="K508">
        <v>4025.8</v>
      </c>
      <c r="L508">
        <v>4066.51</v>
      </c>
      <c r="M508">
        <v>370.57</v>
      </c>
      <c r="N508">
        <v>0</v>
      </c>
      <c r="O508">
        <v>0</v>
      </c>
      <c r="P508">
        <v>4437.08</v>
      </c>
      <c r="Q508">
        <v>1.9</v>
      </c>
      <c r="R508">
        <v>0</v>
      </c>
      <c r="S508">
        <v>510.8</v>
      </c>
      <c r="T508">
        <v>438.87</v>
      </c>
      <c r="U508">
        <v>0</v>
      </c>
      <c r="W508">
        <v>1256.1300000000001</v>
      </c>
      <c r="X508">
        <v>2207.69</v>
      </c>
      <c r="Y508">
        <v>0</v>
      </c>
      <c r="Z508">
        <v>100.91</v>
      </c>
      <c r="AA508">
        <v>3084.62</v>
      </c>
      <c r="AB508">
        <v>0</v>
      </c>
      <c r="AC508">
        <v>2621.5</v>
      </c>
      <c r="AD508">
        <v>0</v>
      </c>
      <c r="AE508">
        <v>16477.599999999999</v>
      </c>
      <c r="AF508">
        <v>20447</v>
      </c>
      <c r="AG508" t="s">
        <v>87</v>
      </c>
      <c r="AH508" t="s">
        <v>88</v>
      </c>
      <c r="AI508" t="s">
        <v>87</v>
      </c>
      <c r="AJ508" t="s">
        <v>88</v>
      </c>
      <c r="AK508">
        <v>6912</v>
      </c>
      <c r="AL508" t="s">
        <v>44</v>
      </c>
      <c r="AM508">
        <v>3</v>
      </c>
      <c r="AN508">
        <v>3</v>
      </c>
      <c r="AO508">
        <v>2024</v>
      </c>
      <c r="AP508">
        <v>1</v>
      </c>
    </row>
    <row r="509" spans="1:42" x14ac:dyDescent="0.25">
      <c r="A509">
        <v>269.73</v>
      </c>
      <c r="B509">
        <v>9755.89</v>
      </c>
      <c r="C509">
        <v>5587.77</v>
      </c>
      <c r="D509">
        <v>195.11</v>
      </c>
      <c r="E509">
        <v>962.31</v>
      </c>
      <c r="F509">
        <v>16770.810000000001</v>
      </c>
      <c r="G509">
        <v>2267.7399999999998</v>
      </c>
      <c r="H509">
        <v>4192.05</v>
      </c>
      <c r="I509">
        <v>1102.5899999999999</v>
      </c>
      <c r="J509">
        <v>7562.38</v>
      </c>
      <c r="K509">
        <v>24333.19</v>
      </c>
      <c r="L509">
        <v>-1.88</v>
      </c>
      <c r="M509">
        <v>11681.9</v>
      </c>
      <c r="N509">
        <v>0</v>
      </c>
      <c r="O509">
        <v>198.59</v>
      </c>
      <c r="P509">
        <v>11878.61</v>
      </c>
      <c r="Q509">
        <v>0</v>
      </c>
      <c r="R509">
        <v>59.68</v>
      </c>
      <c r="S509">
        <v>342.2</v>
      </c>
      <c r="T509">
        <v>728.08</v>
      </c>
      <c r="U509">
        <v>0</v>
      </c>
      <c r="V509">
        <v>0</v>
      </c>
      <c r="W509">
        <v>4055.69</v>
      </c>
      <c r="X509">
        <v>5185.6400000000003</v>
      </c>
      <c r="Y509">
        <v>21.45</v>
      </c>
      <c r="Z509">
        <v>3959.93</v>
      </c>
      <c r="AA509">
        <v>3919.6</v>
      </c>
      <c r="AB509">
        <v>0</v>
      </c>
      <c r="AC509">
        <v>63.39</v>
      </c>
      <c r="AD509">
        <v>1557.39</v>
      </c>
      <c r="AE509">
        <v>50919.21</v>
      </c>
      <c r="AF509">
        <v>20453</v>
      </c>
      <c r="AG509" t="s">
        <v>75</v>
      </c>
      <c r="AH509" t="s">
        <v>76</v>
      </c>
      <c r="AI509" t="s">
        <v>75</v>
      </c>
      <c r="AJ509" t="s">
        <v>76</v>
      </c>
      <c r="AK509">
        <v>80006</v>
      </c>
      <c r="AL509" t="s">
        <v>44</v>
      </c>
      <c r="AM509">
        <v>2</v>
      </c>
      <c r="AN509">
        <v>2</v>
      </c>
      <c r="AO509">
        <v>2024</v>
      </c>
      <c r="AP509">
        <v>2</v>
      </c>
    </row>
    <row r="510" spans="1:42" x14ac:dyDescent="0.25">
      <c r="A510">
        <v>270.54000000000002</v>
      </c>
      <c r="B510">
        <v>2135.14</v>
      </c>
      <c r="C510">
        <v>975.68</v>
      </c>
      <c r="D510">
        <v>154.52000000000001</v>
      </c>
      <c r="E510">
        <v>187.01</v>
      </c>
      <c r="F510">
        <v>3722.89</v>
      </c>
      <c r="G510">
        <v>49.4</v>
      </c>
      <c r="H510">
        <v>15.89</v>
      </c>
      <c r="I510">
        <v>240.9</v>
      </c>
      <c r="J510">
        <v>306.19</v>
      </c>
      <c r="K510">
        <v>4029.08</v>
      </c>
      <c r="L510">
        <v>145.19999999999999</v>
      </c>
      <c r="M510">
        <v>4988.83</v>
      </c>
      <c r="N510">
        <v>0</v>
      </c>
      <c r="O510">
        <v>0</v>
      </c>
      <c r="P510">
        <v>5134.04</v>
      </c>
      <c r="Q510">
        <v>0</v>
      </c>
      <c r="R510">
        <v>3.66</v>
      </c>
      <c r="S510">
        <v>0</v>
      </c>
      <c r="T510">
        <v>0</v>
      </c>
      <c r="U510">
        <v>0</v>
      </c>
      <c r="V510">
        <v>0</v>
      </c>
      <c r="W510">
        <v>0.02</v>
      </c>
      <c r="X510">
        <v>3.67</v>
      </c>
      <c r="Y510">
        <v>0</v>
      </c>
      <c r="Z510">
        <v>26.14</v>
      </c>
      <c r="AA510">
        <v>758.55</v>
      </c>
      <c r="AB510">
        <v>0</v>
      </c>
      <c r="AC510">
        <v>20.47</v>
      </c>
      <c r="AD510">
        <v>932.83</v>
      </c>
      <c r="AE510">
        <v>10904.78</v>
      </c>
      <c r="AF510">
        <v>20166</v>
      </c>
      <c r="AG510" t="s">
        <v>89</v>
      </c>
      <c r="AH510" t="s">
        <v>90</v>
      </c>
      <c r="AI510" t="s">
        <v>89</v>
      </c>
      <c r="AJ510" t="s">
        <v>90</v>
      </c>
      <c r="AK510">
        <v>16565</v>
      </c>
      <c r="AL510" t="s">
        <v>47</v>
      </c>
      <c r="AM510">
        <v>1</v>
      </c>
      <c r="AN510">
        <v>1</v>
      </c>
      <c r="AO510">
        <v>2024</v>
      </c>
      <c r="AP510">
        <v>1</v>
      </c>
    </row>
    <row r="511" spans="1:42" x14ac:dyDescent="0.25">
      <c r="A511">
        <v>271.7</v>
      </c>
      <c r="B511">
        <v>2007.24</v>
      </c>
      <c r="C511">
        <v>793.59</v>
      </c>
      <c r="D511">
        <v>339.78</v>
      </c>
      <c r="E511">
        <v>0</v>
      </c>
      <c r="F511">
        <v>3412.31</v>
      </c>
      <c r="G511">
        <v>839.35</v>
      </c>
      <c r="H511">
        <v>427.36</v>
      </c>
      <c r="I511">
        <v>241.84</v>
      </c>
      <c r="J511">
        <v>1508.55</v>
      </c>
      <c r="K511">
        <v>4920.8599999999997</v>
      </c>
      <c r="L511">
        <v>2398.4899999999998</v>
      </c>
      <c r="M511">
        <v>244.62</v>
      </c>
      <c r="N511">
        <v>158.32</v>
      </c>
      <c r="O511">
        <v>205.7</v>
      </c>
      <c r="P511">
        <v>3007.13</v>
      </c>
      <c r="Q511">
        <v>1.27</v>
      </c>
      <c r="R511">
        <v>23.87</v>
      </c>
      <c r="S511">
        <v>286.02</v>
      </c>
      <c r="T511">
        <v>309.89999999999998</v>
      </c>
      <c r="U511">
        <v>56.59</v>
      </c>
      <c r="V511">
        <v>0</v>
      </c>
      <c r="W511">
        <v>1145.6300000000001</v>
      </c>
      <c r="X511">
        <v>1823.26</v>
      </c>
      <c r="Y511">
        <v>60.04</v>
      </c>
      <c r="Z511">
        <v>126.57</v>
      </c>
      <c r="AA511">
        <v>2154.1</v>
      </c>
      <c r="AB511">
        <v>96.07</v>
      </c>
      <c r="AC511">
        <v>-2086.6999999999998</v>
      </c>
      <c r="AD511">
        <v>0</v>
      </c>
      <c r="AE511">
        <v>10101.31</v>
      </c>
      <c r="AF511">
        <v>21492</v>
      </c>
      <c r="AG511" t="s">
        <v>91</v>
      </c>
      <c r="AH511" t="s">
        <v>92</v>
      </c>
      <c r="AI511" t="s">
        <v>91</v>
      </c>
      <c r="AJ511" t="s">
        <v>92</v>
      </c>
      <c r="AK511">
        <v>1159</v>
      </c>
      <c r="AL511" t="s">
        <v>44</v>
      </c>
      <c r="AM511">
        <v>1</v>
      </c>
      <c r="AN511">
        <v>1</v>
      </c>
      <c r="AO511">
        <v>2024</v>
      </c>
      <c r="AP511">
        <v>3</v>
      </c>
    </row>
    <row r="512" spans="1:42" x14ac:dyDescent="0.25">
      <c r="A512">
        <v>277.45</v>
      </c>
      <c r="B512">
        <v>3074</v>
      </c>
      <c r="C512">
        <v>517.22</v>
      </c>
      <c r="D512">
        <v>41</v>
      </c>
      <c r="E512">
        <v>0</v>
      </c>
      <c r="F512">
        <v>3909.67</v>
      </c>
      <c r="G512">
        <v>674.01</v>
      </c>
      <c r="H512">
        <v>643.02</v>
      </c>
      <c r="I512">
        <v>296.81</v>
      </c>
      <c r="J512">
        <v>1613.84</v>
      </c>
      <c r="K512">
        <v>5523.5</v>
      </c>
      <c r="L512">
        <v>21.61</v>
      </c>
      <c r="M512">
        <v>794.44</v>
      </c>
      <c r="N512">
        <v>0.71</v>
      </c>
      <c r="O512">
        <v>125.9</v>
      </c>
      <c r="P512">
        <v>942.66</v>
      </c>
      <c r="Q512">
        <v>3.66</v>
      </c>
      <c r="R512">
        <v>0</v>
      </c>
      <c r="S512">
        <v>65.13</v>
      </c>
      <c r="T512">
        <v>934.55</v>
      </c>
      <c r="U512">
        <v>0</v>
      </c>
      <c r="V512">
        <v>0</v>
      </c>
      <c r="W512">
        <v>42.95</v>
      </c>
      <c r="X512">
        <v>1046.29</v>
      </c>
      <c r="Y512">
        <v>1.89</v>
      </c>
      <c r="Z512">
        <v>46.84</v>
      </c>
      <c r="AA512">
        <v>241.83</v>
      </c>
      <c r="AB512">
        <v>21.03</v>
      </c>
      <c r="AC512">
        <v>519.16</v>
      </c>
      <c r="AD512">
        <v>0</v>
      </c>
      <c r="AE512">
        <v>8343.2099999999991</v>
      </c>
      <c r="AF512">
        <v>20304</v>
      </c>
      <c r="AG512" t="s">
        <v>103</v>
      </c>
      <c r="AH512" t="s">
        <v>104</v>
      </c>
      <c r="AI512" t="s">
        <v>103</v>
      </c>
      <c r="AJ512" t="s">
        <v>104</v>
      </c>
      <c r="AK512">
        <v>11025</v>
      </c>
      <c r="AL512" t="s">
        <v>50</v>
      </c>
      <c r="AM512">
        <v>3</v>
      </c>
      <c r="AN512">
        <v>3</v>
      </c>
      <c r="AO512">
        <v>2024</v>
      </c>
      <c r="AP512">
        <v>2</v>
      </c>
    </row>
    <row r="513" spans="1:42" x14ac:dyDescent="0.25">
      <c r="A513">
        <v>286.14</v>
      </c>
      <c r="B513">
        <v>926.58</v>
      </c>
      <c r="C513">
        <v>588.30999999999995</v>
      </c>
      <c r="D513">
        <v>441.27</v>
      </c>
      <c r="E513">
        <v>0</v>
      </c>
      <c r="F513">
        <v>2242.3000000000002</v>
      </c>
      <c r="G513">
        <v>18.649999999999999</v>
      </c>
      <c r="H513">
        <v>77.28</v>
      </c>
      <c r="I513">
        <v>19.88</v>
      </c>
      <c r="J513">
        <v>115.81</v>
      </c>
      <c r="K513">
        <v>2358.11</v>
      </c>
      <c r="L513">
        <v>901.95</v>
      </c>
      <c r="M513">
        <v>15.83</v>
      </c>
      <c r="N513">
        <v>12.83</v>
      </c>
      <c r="O513">
        <v>0.95</v>
      </c>
      <c r="P513">
        <v>931.56</v>
      </c>
      <c r="Q513">
        <v>8.56</v>
      </c>
      <c r="R513">
        <v>41.16</v>
      </c>
      <c r="S513">
        <v>71.33</v>
      </c>
      <c r="T513">
        <v>58.21</v>
      </c>
      <c r="U513">
        <v>0</v>
      </c>
      <c r="V513">
        <v>0</v>
      </c>
      <c r="W513">
        <v>115.33</v>
      </c>
      <c r="X513">
        <v>294.58999999999997</v>
      </c>
      <c r="Y513">
        <v>70.78</v>
      </c>
      <c r="Z513">
        <v>92.68</v>
      </c>
      <c r="AA513">
        <v>0</v>
      </c>
      <c r="AB513">
        <v>410.63</v>
      </c>
      <c r="AC513">
        <v>0</v>
      </c>
      <c r="AD513">
        <v>0</v>
      </c>
      <c r="AE513">
        <v>4158.3500000000004</v>
      </c>
      <c r="AF513">
        <v>20310</v>
      </c>
      <c r="AG513" t="s">
        <v>71</v>
      </c>
      <c r="AH513" t="s">
        <v>72</v>
      </c>
      <c r="AI513" t="s">
        <v>71</v>
      </c>
      <c r="AJ513" t="s">
        <v>72</v>
      </c>
      <c r="AK513">
        <v>16076</v>
      </c>
      <c r="AL513" t="s">
        <v>47</v>
      </c>
      <c r="AM513">
        <v>1</v>
      </c>
      <c r="AN513">
        <v>1</v>
      </c>
      <c r="AO513">
        <v>2024</v>
      </c>
      <c r="AP513">
        <v>2</v>
      </c>
    </row>
    <row r="514" spans="1:42" x14ac:dyDescent="0.25">
      <c r="A514">
        <v>287.17</v>
      </c>
      <c r="B514">
        <v>63082.42</v>
      </c>
      <c r="C514">
        <v>17862.25</v>
      </c>
      <c r="D514">
        <v>18959.28</v>
      </c>
      <c r="E514">
        <v>21608.91</v>
      </c>
      <c r="F514">
        <v>121800.01</v>
      </c>
      <c r="G514">
        <v>10006.82</v>
      </c>
      <c r="H514">
        <v>30064.13</v>
      </c>
      <c r="I514">
        <v>9496.9599999999991</v>
      </c>
      <c r="J514">
        <v>49567.91</v>
      </c>
      <c r="K514">
        <v>171367.92</v>
      </c>
      <c r="L514">
        <v>105219.32</v>
      </c>
      <c r="M514">
        <v>13311.16</v>
      </c>
      <c r="N514">
        <v>11906.9</v>
      </c>
      <c r="O514">
        <v>2124.38</v>
      </c>
      <c r="P514">
        <v>132561.76999999999</v>
      </c>
      <c r="Q514">
        <v>1205.76</v>
      </c>
      <c r="R514">
        <v>5029.7299999999996</v>
      </c>
      <c r="S514">
        <v>1077.53</v>
      </c>
      <c r="T514">
        <v>23442.79</v>
      </c>
      <c r="U514">
        <v>1861.78</v>
      </c>
      <c r="V514">
        <v>0</v>
      </c>
      <c r="W514">
        <v>41745.43</v>
      </c>
      <c r="X514">
        <v>74363.02</v>
      </c>
      <c r="Y514">
        <v>10281.26</v>
      </c>
      <c r="Z514">
        <v>37484.76</v>
      </c>
      <c r="AA514">
        <v>18426.68</v>
      </c>
      <c r="AB514">
        <v>1037.3599999999999</v>
      </c>
      <c r="AC514">
        <v>7705.62</v>
      </c>
      <c r="AD514">
        <v>1241.2</v>
      </c>
      <c r="AE514">
        <v>454469.58</v>
      </c>
      <c r="AF514">
        <v>19805</v>
      </c>
      <c r="AG514" t="s">
        <v>105</v>
      </c>
      <c r="AH514" t="s">
        <v>106</v>
      </c>
      <c r="AI514" t="s">
        <v>105</v>
      </c>
      <c r="AJ514" t="s">
        <v>106</v>
      </c>
      <c r="AK514">
        <v>10052</v>
      </c>
      <c r="AL514" t="s">
        <v>64</v>
      </c>
      <c r="AM514">
        <v>3</v>
      </c>
      <c r="AN514">
        <v>3</v>
      </c>
      <c r="AO514">
        <v>2024</v>
      </c>
      <c r="AP514">
        <v>1</v>
      </c>
    </row>
    <row r="515" spans="1:42" x14ac:dyDescent="0.25">
      <c r="A515">
        <v>297</v>
      </c>
      <c r="B515">
        <v>36185</v>
      </c>
      <c r="C515">
        <v>3361</v>
      </c>
      <c r="D515">
        <v>13852</v>
      </c>
      <c r="E515">
        <v>10065</v>
      </c>
      <c r="F515">
        <v>63760</v>
      </c>
      <c r="G515">
        <v>4492</v>
      </c>
      <c r="H515">
        <v>15616</v>
      </c>
      <c r="I515">
        <v>3295</v>
      </c>
      <c r="J515">
        <v>23403</v>
      </c>
      <c r="K515">
        <v>87163</v>
      </c>
      <c r="L515">
        <v>38176</v>
      </c>
      <c r="M515">
        <v>2623</v>
      </c>
      <c r="N515">
        <v>521</v>
      </c>
      <c r="O515">
        <v>524</v>
      </c>
      <c r="P515">
        <v>41844</v>
      </c>
      <c r="Q515">
        <v>2141</v>
      </c>
      <c r="R515">
        <v>207</v>
      </c>
      <c r="S515">
        <v>508</v>
      </c>
      <c r="T515">
        <v>6933</v>
      </c>
      <c r="U515">
        <v>40</v>
      </c>
      <c r="V515">
        <v>20</v>
      </c>
      <c r="W515">
        <v>14201</v>
      </c>
      <c r="X515">
        <v>24050</v>
      </c>
      <c r="Y515">
        <v>5150</v>
      </c>
      <c r="Z515">
        <v>10079</v>
      </c>
      <c r="AA515">
        <v>11497</v>
      </c>
      <c r="AB515">
        <v>338</v>
      </c>
      <c r="AC515">
        <v>2974</v>
      </c>
      <c r="AD515">
        <v>941</v>
      </c>
      <c r="AE515">
        <v>184036</v>
      </c>
      <c r="AF515">
        <v>19393</v>
      </c>
      <c r="AG515" t="s">
        <v>99</v>
      </c>
      <c r="AH515" t="s">
        <v>100</v>
      </c>
      <c r="AI515" t="s">
        <v>99</v>
      </c>
      <c r="AJ515" t="s">
        <v>100</v>
      </c>
      <c r="AK515">
        <v>11033</v>
      </c>
      <c r="AL515" t="s">
        <v>50</v>
      </c>
      <c r="AM515">
        <v>3</v>
      </c>
      <c r="AN515">
        <v>3</v>
      </c>
      <c r="AO515">
        <v>2024</v>
      </c>
      <c r="AP515">
        <v>3</v>
      </c>
    </row>
    <row r="516" spans="1:42" x14ac:dyDescent="0.25">
      <c r="A516">
        <v>298.2</v>
      </c>
      <c r="B516">
        <v>5287.5</v>
      </c>
      <c r="C516">
        <v>1103.18</v>
      </c>
      <c r="D516">
        <v>278.36</v>
      </c>
      <c r="E516">
        <v>1071.18</v>
      </c>
      <c r="F516">
        <v>8038.41</v>
      </c>
      <c r="G516">
        <v>1013.69</v>
      </c>
      <c r="H516">
        <v>1488.83</v>
      </c>
      <c r="I516">
        <v>643.66</v>
      </c>
      <c r="J516">
        <v>3146.18</v>
      </c>
      <c r="K516">
        <v>11184.59</v>
      </c>
      <c r="L516">
        <v>13519.5</v>
      </c>
      <c r="M516">
        <v>164.43</v>
      </c>
      <c r="N516">
        <v>0.95</v>
      </c>
      <c r="O516">
        <v>132.19999999999999</v>
      </c>
      <c r="P516">
        <v>13817.07</v>
      </c>
      <c r="Q516">
        <v>57.13</v>
      </c>
      <c r="R516">
        <v>997.12</v>
      </c>
      <c r="S516">
        <v>39.07</v>
      </c>
      <c r="T516">
        <v>887.67</v>
      </c>
      <c r="U516">
        <v>133.33000000000001</v>
      </c>
      <c r="V516">
        <v>0</v>
      </c>
      <c r="W516">
        <v>6217.24</v>
      </c>
      <c r="X516">
        <v>8331.5499999999993</v>
      </c>
      <c r="Y516">
        <v>1565.9</v>
      </c>
      <c r="Z516">
        <v>11328.01</v>
      </c>
      <c r="AA516">
        <v>295.11</v>
      </c>
      <c r="AB516">
        <v>1.47</v>
      </c>
      <c r="AC516">
        <v>-1942.5</v>
      </c>
      <c r="AD516">
        <v>0</v>
      </c>
      <c r="AE516">
        <v>44581.21</v>
      </c>
      <c r="AF516">
        <v>20436</v>
      </c>
      <c r="AG516" t="s">
        <v>122</v>
      </c>
      <c r="AH516" t="s">
        <v>123</v>
      </c>
      <c r="AI516" t="s">
        <v>122</v>
      </c>
      <c r="AJ516" t="s">
        <v>123</v>
      </c>
      <c r="AK516">
        <v>16461</v>
      </c>
      <c r="AL516" t="s">
        <v>50</v>
      </c>
      <c r="AM516">
        <v>3</v>
      </c>
      <c r="AN516">
        <v>3</v>
      </c>
      <c r="AO516">
        <v>2024</v>
      </c>
      <c r="AP516">
        <v>3</v>
      </c>
    </row>
    <row r="517" spans="1:42" x14ac:dyDescent="0.25">
      <c r="A517">
        <v>306.19</v>
      </c>
      <c r="B517">
        <v>3600.64</v>
      </c>
      <c r="C517">
        <v>597.63</v>
      </c>
      <c r="D517">
        <v>46.31</v>
      </c>
      <c r="E517">
        <v>0</v>
      </c>
      <c r="F517">
        <v>4550.7700000000004</v>
      </c>
      <c r="G517">
        <v>849.94</v>
      </c>
      <c r="H517">
        <v>735.88</v>
      </c>
      <c r="I517">
        <v>304.19</v>
      </c>
      <c r="J517">
        <v>1890.01</v>
      </c>
      <c r="K517">
        <v>6440.78</v>
      </c>
      <c r="L517">
        <v>21.49</v>
      </c>
      <c r="M517">
        <v>900.86</v>
      </c>
      <c r="N517">
        <v>1.6</v>
      </c>
      <c r="O517">
        <v>154.34</v>
      </c>
      <c r="P517">
        <v>1078.3</v>
      </c>
      <c r="Q517">
        <v>2.11</v>
      </c>
      <c r="R517">
        <v>0</v>
      </c>
      <c r="S517">
        <v>73.790000000000006</v>
      </c>
      <c r="T517">
        <v>1158.57</v>
      </c>
      <c r="U517">
        <v>0</v>
      </c>
      <c r="V517">
        <v>0</v>
      </c>
      <c r="W517">
        <v>97.1</v>
      </c>
      <c r="X517">
        <v>1331.58</v>
      </c>
      <c r="Y517">
        <v>2.2000000000000002</v>
      </c>
      <c r="Z517">
        <v>59.29</v>
      </c>
      <c r="AA517">
        <v>258.83</v>
      </c>
      <c r="AB517">
        <v>23.11</v>
      </c>
      <c r="AC517">
        <v>630.15</v>
      </c>
      <c r="AD517">
        <v>0</v>
      </c>
      <c r="AE517">
        <v>9824.23</v>
      </c>
      <c r="AF517">
        <v>20304</v>
      </c>
      <c r="AG517" t="s">
        <v>103</v>
      </c>
      <c r="AH517" t="s">
        <v>104</v>
      </c>
      <c r="AI517" t="s">
        <v>103</v>
      </c>
      <c r="AJ517" t="s">
        <v>104</v>
      </c>
      <c r="AK517">
        <v>11025</v>
      </c>
      <c r="AL517" t="s">
        <v>50</v>
      </c>
      <c r="AM517">
        <v>3</v>
      </c>
      <c r="AN517">
        <v>3</v>
      </c>
      <c r="AO517">
        <v>2024</v>
      </c>
      <c r="AP517">
        <v>3</v>
      </c>
    </row>
    <row r="518" spans="1:42" x14ac:dyDescent="0.25">
      <c r="A518">
        <v>307.04000000000002</v>
      </c>
      <c r="B518">
        <v>5140.93</v>
      </c>
      <c r="C518">
        <v>1276.8699999999999</v>
      </c>
      <c r="D518">
        <v>1362.21</v>
      </c>
      <c r="E518">
        <v>1818.57</v>
      </c>
      <c r="F518">
        <v>9905.61</v>
      </c>
      <c r="G518">
        <v>1144.6300000000001</v>
      </c>
      <c r="H518">
        <v>974.45</v>
      </c>
      <c r="I518">
        <v>604.26</v>
      </c>
      <c r="J518">
        <v>2723.34</v>
      </c>
      <c r="K518">
        <v>12628.94</v>
      </c>
      <c r="L518">
        <v>8288.27</v>
      </c>
      <c r="M518">
        <v>1022</v>
      </c>
      <c r="N518">
        <v>0</v>
      </c>
      <c r="O518">
        <v>298.27999999999997</v>
      </c>
      <c r="P518">
        <v>9608.5499999999993</v>
      </c>
      <c r="Q518">
        <v>50.28</v>
      </c>
      <c r="R518">
        <v>662.34</v>
      </c>
      <c r="S518">
        <v>419.77</v>
      </c>
      <c r="T518">
        <v>4704.12</v>
      </c>
      <c r="U518">
        <v>0</v>
      </c>
      <c r="V518">
        <v>583.01</v>
      </c>
      <c r="W518">
        <v>3749.82</v>
      </c>
      <c r="X518">
        <v>10169.34</v>
      </c>
      <c r="Y518">
        <v>893.2</v>
      </c>
      <c r="Z518">
        <v>6012.4</v>
      </c>
      <c r="AA518">
        <v>870.68</v>
      </c>
      <c r="AB518">
        <v>694.28</v>
      </c>
      <c r="AC518">
        <v>560.57000000000005</v>
      </c>
      <c r="AD518">
        <v>1875.63</v>
      </c>
      <c r="AE518">
        <v>43313.58</v>
      </c>
      <c r="AF518">
        <v>20151</v>
      </c>
      <c r="AG518" t="s">
        <v>97</v>
      </c>
      <c r="AH518" t="s">
        <v>98</v>
      </c>
      <c r="AI518" t="s">
        <v>97</v>
      </c>
      <c r="AJ518" t="s">
        <v>98</v>
      </c>
      <c r="AK518">
        <v>6052</v>
      </c>
      <c r="AL518" t="s">
        <v>44</v>
      </c>
      <c r="AM518">
        <v>2</v>
      </c>
      <c r="AN518">
        <v>2</v>
      </c>
      <c r="AO518">
        <v>2024</v>
      </c>
      <c r="AP518">
        <v>3</v>
      </c>
    </row>
    <row r="519" spans="1:42" x14ac:dyDescent="0.25">
      <c r="A519">
        <v>323.14</v>
      </c>
      <c r="B519">
        <v>1393.99</v>
      </c>
      <c r="C519">
        <v>1696.23</v>
      </c>
      <c r="D519">
        <v>1000.86</v>
      </c>
      <c r="E519">
        <v>1208.55</v>
      </c>
      <c r="F519">
        <v>5622.76</v>
      </c>
      <c r="G519">
        <v>281.54000000000002</v>
      </c>
      <c r="H519">
        <v>568.19000000000005</v>
      </c>
      <c r="I519">
        <v>467.75</v>
      </c>
      <c r="J519">
        <v>1317.47</v>
      </c>
      <c r="K519">
        <v>6940.23</v>
      </c>
      <c r="L519">
        <v>3391.07</v>
      </c>
      <c r="M519">
        <v>1395.75</v>
      </c>
      <c r="O519">
        <v>241.55</v>
      </c>
      <c r="P519">
        <v>5028.37</v>
      </c>
      <c r="Q519">
        <v>14.09</v>
      </c>
      <c r="R519">
        <v>67.2</v>
      </c>
      <c r="S519">
        <v>500.21</v>
      </c>
      <c r="T519">
        <v>590.78</v>
      </c>
      <c r="W519">
        <v>1363.43</v>
      </c>
      <c r="X519">
        <v>2535.71</v>
      </c>
      <c r="Y519">
        <v>184.97</v>
      </c>
      <c r="Z519">
        <v>2327.02</v>
      </c>
      <c r="AA519">
        <v>1336.47</v>
      </c>
      <c r="AC519">
        <v>103.99</v>
      </c>
      <c r="AD519">
        <v>143.88</v>
      </c>
      <c r="AE519">
        <v>18600.64</v>
      </c>
      <c r="AF519">
        <v>20408</v>
      </c>
      <c r="AG519" t="s">
        <v>101</v>
      </c>
      <c r="AH519" t="s">
        <v>102</v>
      </c>
      <c r="AI519" t="s">
        <v>101</v>
      </c>
      <c r="AJ519" t="s">
        <v>102</v>
      </c>
      <c r="AK519">
        <v>6860</v>
      </c>
      <c r="AL519" t="s">
        <v>44</v>
      </c>
      <c r="AM519">
        <v>1</v>
      </c>
      <c r="AN519">
        <v>1</v>
      </c>
      <c r="AO519">
        <v>2024</v>
      </c>
      <c r="AP519">
        <v>2</v>
      </c>
    </row>
    <row r="520" spans="1:42" x14ac:dyDescent="0.25">
      <c r="A520">
        <v>323.97000000000003</v>
      </c>
      <c r="B520">
        <v>16838.61</v>
      </c>
      <c r="C520">
        <v>5498.6</v>
      </c>
      <c r="D520">
        <v>2179.58</v>
      </c>
      <c r="E520">
        <v>2982.83</v>
      </c>
      <c r="F520">
        <v>27823.599999999999</v>
      </c>
      <c r="G520">
        <v>16536.3</v>
      </c>
      <c r="H520">
        <v>3363.83</v>
      </c>
      <c r="I520">
        <v>2036.98</v>
      </c>
      <c r="J520">
        <v>21937.1</v>
      </c>
      <c r="K520">
        <v>49760.7</v>
      </c>
      <c r="L520">
        <v>42372.01</v>
      </c>
      <c r="M520">
        <v>538.88</v>
      </c>
      <c r="N520">
        <v>5890.01</v>
      </c>
      <c r="O520">
        <v>457.41</v>
      </c>
      <c r="P520">
        <v>49258.31</v>
      </c>
      <c r="Q520">
        <v>17.52</v>
      </c>
      <c r="R520">
        <v>490.67</v>
      </c>
      <c r="S520">
        <v>716.24</v>
      </c>
      <c r="T520">
        <v>0</v>
      </c>
      <c r="U520">
        <v>4080.02</v>
      </c>
      <c r="V520">
        <v>0</v>
      </c>
      <c r="W520">
        <v>6854.46</v>
      </c>
      <c r="X520">
        <v>12158.91</v>
      </c>
      <c r="Y520">
        <v>1555.22</v>
      </c>
      <c r="Z520">
        <v>13010.43</v>
      </c>
      <c r="AA520">
        <v>9536.7000000000007</v>
      </c>
      <c r="AB520">
        <v>0</v>
      </c>
      <c r="AC520">
        <v>13814.13</v>
      </c>
      <c r="AD520">
        <v>4.72</v>
      </c>
      <c r="AE520">
        <v>149099.10999999999</v>
      </c>
      <c r="AF520">
        <v>20377</v>
      </c>
      <c r="AG520" t="s">
        <v>69</v>
      </c>
      <c r="AH520" t="s">
        <v>70</v>
      </c>
      <c r="AI520" t="s">
        <v>69</v>
      </c>
      <c r="AJ520" t="s">
        <v>70</v>
      </c>
      <c r="AK520">
        <v>16736</v>
      </c>
      <c r="AL520" t="s">
        <v>47</v>
      </c>
      <c r="AM520">
        <v>2</v>
      </c>
      <c r="AN520">
        <v>2</v>
      </c>
      <c r="AO520">
        <v>2024</v>
      </c>
      <c r="AP520">
        <v>2</v>
      </c>
    </row>
    <row r="521" spans="1:42" x14ac:dyDescent="0.25">
      <c r="A521">
        <v>324.88</v>
      </c>
      <c r="B521">
        <v>12199.23</v>
      </c>
      <c r="C521">
        <v>5730.03</v>
      </c>
      <c r="D521">
        <v>206.55</v>
      </c>
      <c r="E521">
        <v>1360.27</v>
      </c>
      <c r="F521">
        <v>19820.96</v>
      </c>
      <c r="G521">
        <v>3543.58</v>
      </c>
      <c r="H521">
        <v>5381.5</v>
      </c>
      <c r="I521">
        <v>1118.9000000000001</v>
      </c>
      <c r="J521">
        <v>10043.98</v>
      </c>
      <c r="K521">
        <v>29864.93</v>
      </c>
      <c r="L521">
        <v>29.23</v>
      </c>
      <c r="M521">
        <v>12668.43</v>
      </c>
      <c r="N521">
        <v>0</v>
      </c>
      <c r="O521">
        <v>222.09</v>
      </c>
      <c r="P521">
        <v>12919.75</v>
      </c>
      <c r="Q521">
        <v>0.01</v>
      </c>
      <c r="R521">
        <v>93.12</v>
      </c>
      <c r="S521">
        <v>617.53</v>
      </c>
      <c r="T521">
        <v>592.71</v>
      </c>
      <c r="U521">
        <v>0</v>
      </c>
      <c r="V521">
        <v>0</v>
      </c>
      <c r="W521">
        <v>5832.87</v>
      </c>
      <c r="X521">
        <v>7136.23</v>
      </c>
      <c r="Y521">
        <v>15.45</v>
      </c>
      <c r="Z521">
        <v>4021.16</v>
      </c>
      <c r="AA521">
        <v>4478.82</v>
      </c>
      <c r="AB521">
        <v>0</v>
      </c>
      <c r="AC521">
        <v>249.72</v>
      </c>
      <c r="AD521">
        <v>2327.5500000000002</v>
      </c>
      <c r="AE521">
        <v>61013.61</v>
      </c>
      <c r="AF521">
        <v>20453</v>
      </c>
      <c r="AG521" t="s">
        <v>75</v>
      </c>
      <c r="AH521" t="s">
        <v>76</v>
      </c>
      <c r="AI521" t="s">
        <v>75</v>
      </c>
      <c r="AJ521" t="s">
        <v>76</v>
      </c>
      <c r="AK521">
        <v>80006</v>
      </c>
      <c r="AL521" t="s">
        <v>44</v>
      </c>
      <c r="AM521">
        <v>2</v>
      </c>
      <c r="AN521">
        <v>2</v>
      </c>
      <c r="AO521">
        <v>2024</v>
      </c>
      <c r="AP521">
        <v>3</v>
      </c>
    </row>
    <row r="522" spans="1:42" x14ac:dyDescent="0.25">
      <c r="A522">
        <v>326.39</v>
      </c>
      <c r="B522">
        <v>1141.57</v>
      </c>
      <c r="C522">
        <v>1754.1</v>
      </c>
      <c r="D522">
        <v>1035.97</v>
      </c>
      <c r="E522">
        <v>1173.01</v>
      </c>
      <c r="F522">
        <v>5431.03</v>
      </c>
      <c r="G522">
        <v>280.7</v>
      </c>
      <c r="H522">
        <v>382.45</v>
      </c>
      <c r="I522">
        <v>479.13</v>
      </c>
      <c r="J522">
        <v>1142.28</v>
      </c>
      <c r="K522">
        <v>6573.32</v>
      </c>
      <c r="L522">
        <v>3167.53</v>
      </c>
      <c r="M522">
        <v>1130.57</v>
      </c>
      <c r="O522">
        <v>304.05</v>
      </c>
      <c r="P522">
        <v>4602.1499999999996</v>
      </c>
      <c r="Q522">
        <v>7.44</v>
      </c>
      <c r="R522">
        <v>66.05</v>
      </c>
      <c r="S522">
        <v>472.66</v>
      </c>
      <c r="T522">
        <v>1316.79</v>
      </c>
      <c r="W522">
        <v>1236.1300000000001</v>
      </c>
      <c r="X522">
        <v>3099.07</v>
      </c>
      <c r="Y522">
        <v>121.84</v>
      </c>
      <c r="Z522">
        <v>2308.54</v>
      </c>
      <c r="AA522">
        <v>1336.47</v>
      </c>
      <c r="AC522">
        <v>187.64</v>
      </c>
      <c r="AD522">
        <v>123.03</v>
      </c>
      <c r="AE522">
        <v>18352.060000000001</v>
      </c>
      <c r="AF522">
        <v>20408</v>
      </c>
      <c r="AG522" t="s">
        <v>101</v>
      </c>
      <c r="AH522" t="s">
        <v>102</v>
      </c>
      <c r="AI522" t="s">
        <v>101</v>
      </c>
      <c r="AJ522" t="s">
        <v>102</v>
      </c>
      <c r="AK522">
        <v>6860</v>
      </c>
      <c r="AL522" t="s">
        <v>44</v>
      </c>
      <c r="AM522">
        <v>1</v>
      </c>
      <c r="AN522">
        <v>1</v>
      </c>
      <c r="AO522">
        <v>2024</v>
      </c>
      <c r="AP522">
        <v>1</v>
      </c>
    </row>
    <row r="523" spans="1:42" x14ac:dyDescent="0.25">
      <c r="A523">
        <v>327.79</v>
      </c>
      <c r="B523">
        <v>2871.43</v>
      </c>
      <c r="C523">
        <v>740.3</v>
      </c>
      <c r="D523">
        <v>686.13</v>
      </c>
      <c r="E523">
        <v>0</v>
      </c>
      <c r="F523">
        <v>4625.6499999999996</v>
      </c>
      <c r="G523">
        <v>1360.5</v>
      </c>
      <c r="H523">
        <v>446.94</v>
      </c>
      <c r="I523">
        <v>324.68</v>
      </c>
      <c r="J523">
        <v>2132.12</v>
      </c>
      <c r="K523">
        <v>6757.77</v>
      </c>
      <c r="L523">
        <v>3447.43</v>
      </c>
      <c r="M523">
        <v>353.93</v>
      </c>
      <c r="N523">
        <v>342.96</v>
      </c>
      <c r="O523">
        <v>429.64</v>
      </c>
      <c r="P523">
        <v>4573.95</v>
      </c>
      <c r="Q523">
        <v>2.0699999999999998</v>
      </c>
      <c r="R523">
        <v>4.62</v>
      </c>
      <c r="S523">
        <v>367.72</v>
      </c>
      <c r="T523">
        <v>1400.91</v>
      </c>
      <c r="U523">
        <v>406.93</v>
      </c>
      <c r="V523">
        <v>0</v>
      </c>
      <c r="W523">
        <v>2033.33</v>
      </c>
      <c r="X523">
        <v>4215.58</v>
      </c>
      <c r="Y523">
        <v>77.400000000000006</v>
      </c>
      <c r="Z523">
        <v>136.62</v>
      </c>
      <c r="AA523">
        <v>2301.4699999999998</v>
      </c>
      <c r="AB523">
        <v>103.91</v>
      </c>
      <c r="AC523">
        <v>100.99</v>
      </c>
      <c r="AD523">
        <v>7.5</v>
      </c>
      <c r="AE523">
        <v>18275.18</v>
      </c>
      <c r="AF523">
        <v>21492</v>
      </c>
      <c r="AG523" t="s">
        <v>91</v>
      </c>
      <c r="AH523" t="s">
        <v>92</v>
      </c>
      <c r="AI523" t="s">
        <v>91</v>
      </c>
      <c r="AJ523" t="s">
        <v>92</v>
      </c>
      <c r="AK523">
        <v>11019</v>
      </c>
      <c r="AL523" t="s">
        <v>47</v>
      </c>
      <c r="AM523">
        <v>1</v>
      </c>
      <c r="AN523">
        <v>1</v>
      </c>
      <c r="AO523">
        <v>2024</v>
      </c>
      <c r="AP523">
        <v>2</v>
      </c>
    </row>
    <row r="524" spans="1:42" x14ac:dyDescent="0.25">
      <c r="A524">
        <v>333.83</v>
      </c>
      <c r="B524">
        <v>4841.71</v>
      </c>
      <c r="C524">
        <v>1183.8800000000001</v>
      </c>
      <c r="D524">
        <v>1286.67</v>
      </c>
      <c r="E524">
        <v>1723.67</v>
      </c>
      <c r="F524">
        <v>9369.76</v>
      </c>
      <c r="G524">
        <v>920.18</v>
      </c>
      <c r="H524">
        <v>829.94</v>
      </c>
      <c r="I524">
        <v>630.12</v>
      </c>
      <c r="J524">
        <v>2380.2399999999998</v>
      </c>
      <c r="K524">
        <v>11750</v>
      </c>
      <c r="L524">
        <v>8753.4</v>
      </c>
      <c r="M524">
        <v>920.12</v>
      </c>
      <c r="N524">
        <v>0</v>
      </c>
      <c r="O524">
        <v>341.39</v>
      </c>
      <c r="P524">
        <v>10014.9</v>
      </c>
      <c r="Q524">
        <v>38.840000000000003</v>
      </c>
      <c r="R524">
        <v>583.28</v>
      </c>
      <c r="S524">
        <v>417.29</v>
      </c>
      <c r="T524">
        <v>4577.72</v>
      </c>
      <c r="U524">
        <v>0</v>
      </c>
      <c r="V524">
        <v>605.38</v>
      </c>
      <c r="W524">
        <v>3083.01</v>
      </c>
      <c r="X524">
        <v>9305.5300000000007</v>
      </c>
      <c r="Y524">
        <v>583.55999999999995</v>
      </c>
      <c r="Z524">
        <v>5137.0600000000004</v>
      </c>
      <c r="AA524">
        <v>836.27</v>
      </c>
      <c r="AB524">
        <v>663.64</v>
      </c>
      <c r="AC524">
        <v>444.4</v>
      </c>
      <c r="AD524">
        <v>2022.7</v>
      </c>
      <c r="AE524">
        <v>40758.050000000003</v>
      </c>
      <c r="AF524">
        <v>20151</v>
      </c>
      <c r="AG524" t="s">
        <v>97</v>
      </c>
      <c r="AH524" t="s">
        <v>98</v>
      </c>
      <c r="AI524" t="s">
        <v>97</v>
      </c>
      <c r="AJ524" t="s">
        <v>98</v>
      </c>
      <c r="AK524">
        <v>6052</v>
      </c>
      <c r="AL524" t="s">
        <v>44</v>
      </c>
      <c r="AM524">
        <v>2</v>
      </c>
      <c r="AN524">
        <v>2</v>
      </c>
      <c r="AO524">
        <v>2024</v>
      </c>
      <c r="AP524">
        <v>2</v>
      </c>
    </row>
    <row r="525" spans="1:42" x14ac:dyDescent="0.25">
      <c r="A525">
        <v>338.9</v>
      </c>
      <c r="B525">
        <v>10830.08</v>
      </c>
      <c r="C525">
        <v>5303.38</v>
      </c>
      <c r="D525">
        <v>218.17</v>
      </c>
      <c r="E525">
        <v>1033.23</v>
      </c>
      <c r="F525">
        <v>17723.77</v>
      </c>
      <c r="G525">
        <v>2491.19</v>
      </c>
      <c r="H525">
        <v>3589.03</v>
      </c>
      <c r="I525">
        <v>1326.65</v>
      </c>
      <c r="J525">
        <v>7406.87</v>
      </c>
      <c r="K525">
        <v>25130.639999999999</v>
      </c>
      <c r="L525">
        <v>-0.52</v>
      </c>
      <c r="M525">
        <v>10893.49</v>
      </c>
      <c r="N525">
        <v>0</v>
      </c>
      <c r="O525">
        <v>211.26</v>
      </c>
      <c r="P525">
        <v>11104.23</v>
      </c>
      <c r="Q525">
        <v>0</v>
      </c>
      <c r="R525">
        <v>63.44</v>
      </c>
      <c r="S525">
        <v>336.11</v>
      </c>
      <c r="T525">
        <v>404.63</v>
      </c>
      <c r="U525">
        <v>0</v>
      </c>
      <c r="V525">
        <v>0</v>
      </c>
      <c r="W525">
        <v>3758.81</v>
      </c>
      <c r="X525">
        <v>4562.99</v>
      </c>
      <c r="Y525">
        <v>-34.46</v>
      </c>
      <c r="Z525">
        <v>3898.69</v>
      </c>
      <c r="AA525">
        <v>3551.82</v>
      </c>
      <c r="AB525">
        <v>0</v>
      </c>
      <c r="AC525">
        <v>247.72</v>
      </c>
      <c r="AD525">
        <v>1686.82</v>
      </c>
      <c r="AE525">
        <v>50148.45</v>
      </c>
      <c r="AF525">
        <v>20453</v>
      </c>
      <c r="AG525" t="s">
        <v>75</v>
      </c>
      <c r="AH525" t="s">
        <v>76</v>
      </c>
      <c r="AI525" t="s">
        <v>75</v>
      </c>
      <c r="AJ525" t="s">
        <v>76</v>
      </c>
      <c r="AK525">
        <v>80006</v>
      </c>
      <c r="AL525" t="s">
        <v>44</v>
      </c>
      <c r="AM525">
        <v>2</v>
      </c>
      <c r="AN525">
        <v>2</v>
      </c>
      <c r="AO525">
        <v>2024</v>
      </c>
      <c r="AP525">
        <v>1</v>
      </c>
    </row>
    <row r="526" spans="1:42" x14ac:dyDescent="0.25">
      <c r="A526">
        <v>343.01</v>
      </c>
      <c r="B526">
        <v>5783.54</v>
      </c>
      <c r="C526">
        <v>1594.09</v>
      </c>
      <c r="D526">
        <v>18.510000000000002</v>
      </c>
      <c r="E526">
        <v>0</v>
      </c>
      <c r="F526">
        <v>7739.15</v>
      </c>
      <c r="G526">
        <v>646.98</v>
      </c>
      <c r="H526">
        <v>455.14</v>
      </c>
      <c r="I526">
        <v>565.19000000000005</v>
      </c>
      <c r="J526">
        <v>1667.31</v>
      </c>
      <c r="K526">
        <v>9406.4500000000007</v>
      </c>
      <c r="L526">
        <v>0.94</v>
      </c>
      <c r="M526">
        <v>298.33999999999997</v>
      </c>
      <c r="N526">
        <v>0</v>
      </c>
      <c r="O526">
        <v>0</v>
      </c>
      <c r="P526">
        <v>299.27999999999997</v>
      </c>
      <c r="Q526">
        <v>0</v>
      </c>
      <c r="R526">
        <v>0</v>
      </c>
      <c r="S526">
        <v>206.59</v>
      </c>
      <c r="T526">
        <v>0</v>
      </c>
      <c r="U526">
        <v>0</v>
      </c>
      <c r="V526">
        <v>0</v>
      </c>
      <c r="W526">
        <v>0</v>
      </c>
      <c r="X526">
        <v>206.59</v>
      </c>
      <c r="Y526">
        <v>0</v>
      </c>
      <c r="Z526">
        <v>635.76</v>
      </c>
      <c r="AA526">
        <v>154.25</v>
      </c>
      <c r="AB526">
        <v>0</v>
      </c>
      <c r="AC526">
        <v>6962.06</v>
      </c>
      <c r="AD526">
        <v>0</v>
      </c>
      <c r="AE526">
        <v>17664.39</v>
      </c>
      <c r="AF526">
        <v>20378</v>
      </c>
      <c r="AG526" t="s">
        <v>67</v>
      </c>
      <c r="AH526" t="s">
        <v>68</v>
      </c>
      <c r="AI526" t="s">
        <v>67</v>
      </c>
      <c r="AJ526" t="s">
        <v>68</v>
      </c>
      <c r="AK526">
        <v>11022</v>
      </c>
      <c r="AL526" t="s">
        <v>50</v>
      </c>
      <c r="AM526">
        <v>2</v>
      </c>
      <c r="AN526">
        <v>2</v>
      </c>
      <c r="AO526">
        <v>2024</v>
      </c>
      <c r="AP526">
        <v>2</v>
      </c>
    </row>
    <row r="527" spans="1:42" x14ac:dyDescent="0.25">
      <c r="A527">
        <v>346.68</v>
      </c>
      <c r="B527">
        <v>14784.22</v>
      </c>
      <c r="C527">
        <v>5992.42</v>
      </c>
      <c r="D527">
        <v>195.27</v>
      </c>
      <c r="E527">
        <v>1170.3499999999999</v>
      </c>
      <c r="F527">
        <v>22488.94</v>
      </c>
      <c r="G527">
        <v>4348.7700000000004</v>
      </c>
      <c r="H527">
        <v>6204.73</v>
      </c>
      <c r="I527">
        <v>1054.3</v>
      </c>
      <c r="J527">
        <v>11607.81</v>
      </c>
      <c r="K527">
        <v>34096.75</v>
      </c>
      <c r="L527">
        <v>150.26</v>
      </c>
      <c r="M527">
        <v>14269.12</v>
      </c>
      <c r="N527">
        <v>0</v>
      </c>
      <c r="O527">
        <v>220.74</v>
      </c>
      <c r="P527">
        <v>14640.12</v>
      </c>
      <c r="Q527">
        <v>0.13</v>
      </c>
      <c r="R527">
        <v>78.489999999999995</v>
      </c>
      <c r="S527">
        <v>683.69</v>
      </c>
      <c r="T527">
        <v>604.98</v>
      </c>
      <c r="U527">
        <v>0</v>
      </c>
      <c r="V527">
        <v>0</v>
      </c>
      <c r="W527">
        <v>7547.23</v>
      </c>
      <c r="X527">
        <v>8914.52</v>
      </c>
      <c r="Y527">
        <v>205.91</v>
      </c>
      <c r="Z527">
        <v>4336.26</v>
      </c>
      <c r="AA527">
        <v>4835.2700000000004</v>
      </c>
      <c r="AB527">
        <v>0</v>
      </c>
      <c r="AC527">
        <v>661.65</v>
      </c>
      <c r="AD527">
        <v>1772.29</v>
      </c>
      <c r="AE527">
        <v>69462.78</v>
      </c>
      <c r="AF527">
        <v>20453</v>
      </c>
      <c r="AG527" t="s">
        <v>75</v>
      </c>
      <c r="AH527" t="s">
        <v>76</v>
      </c>
      <c r="AI527" t="s">
        <v>75</v>
      </c>
      <c r="AJ527" t="s">
        <v>76</v>
      </c>
      <c r="AK527">
        <v>80006</v>
      </c>
      <c r="AL527" t="s">
        <v>44</v>
      </c>
      <c r="AM527">
        <v>2</v>
      </c>
      <c r="AN527">
        <v>2</v>
      </c>
      <c r="AO527">
        <v>2024</v>
      </c>
      <c r="AP527">
        <v>4</v>
      </c>
    </row>
    <row r="528" spans="1:42" x14ac:dyDescent="0.25">
      <c r="A528">
        <v>347.72</v>
      </c>
      <c r="B528">
        <v>31433.49</v>
      </c>
      <c r="C528">
        <v>1793.9</v>
      </c>
      <c r="D528">
        <v>5128.3</v>
      </c>
      <c r="E528">
        <v>4940.72</v>
      </c>
      <c r="F528">
        <v>43644.12</v>
      </c>
      <c r="G528">
        <v>2066.84</v>
      </c>
      <c r="H528">
        <v>2456.0500000000002</v>
      </c>
      <c r="I528">
        <v>1367.15</v>
      </c>
      <c r="J528">
        <v>5890.03</v>
      </c>
      <c r="K528">
        <v>49534.15</v>
      </c>
      <c r="L528">
        <v>13427.84</v>
      </c>
      <c r="M528">
        <v>562.66</v>
      </c>
      <c r="N528">
        <v>3964.3</v>
      </c>
      <c r="O528">
        <v>640.6</v>
      </c>
      <c r="P528">
        <v>18595.400000000001</v>
      </c>
      <c r="Q528">
        <v>814</v>
      </c>
      <c r="R528">
        <v>122.88</v>
      </c>
      <c r="S528">
        <v>500.34</v>
      </c>
      <c r="T528">
        <v>1586.36</v>
      </c>
      <c r="U528">
        <v>472.77</v>
      </c>
      <c r="V528">
        <v>0</v>
      </c>
      <c r="W528">
        <v>18639.759999999998</v>
      </c>
      <c r="X528">
        <v>22136.1</v>
      </c>
      <c r="Y528">
        <v>4379.88</v>
      </c>
      <c r="Z528">
        <v>6169.05</v>
      </c>
      <c r="AA528">
        <v>4303.71</v>
      </c>
      <c r="AB528">
        <v>1124.5999999999999</v>
      </c>
      <c r="AC528">
        <v>1334.2</v>
      </c>
      <c r="AD528">
        <v>55.92</v>
      </c>
      <c r="AE528">
        <v>107633.01</v>
      </c>
      <c r="AF528">
        <v>20409</v>
      </c>
      <c r="AG528" t="s">
        <v>95</v>
      </c>
      <c r="AH528" t="s">
        <v>96</v>
      </c>
      <c r="AI528" t="s">
        <v>95</v>
      </c>
      <c r="AJ528" t="s">
        <v>96</v>
      </c>
      <c r="AK528">
        <v>10875</v>
      </c>
      <c r="AL528" t="s">
        <v>53</v>
      </c>
      <c r="AM528">
        <v>3</v>
      </c>
      <c r="AN528">
        <v>3</v>
      </c>
      <c r="AO528">
        <v>2024</v>
      </c>
      <c r="AP528">
        <v>2</v>
      </c>
    </row>
    <row r="529" spans="1:42" x14ac:dyDescent="0.25">
      <c r="A529">
        <v>350.19</v>
      </c>
      <c r="B529">
        <v>2451.38</v>
      </c>
      <c r="C529">
        <v>518.89</v>
      </c>
      <c r="D529">
        <v>484.66</v>
      </c>
      <c r="E529">
        <v>0</v>
      </c>
      <c r="F529">
        <v>3805.11</v>
      </c>
      <c r="G529">
        <v>1254.3599999999999</v>
      </c>
      <c r="H529">
        <v>332.46</v>
      </c>
      <c r="I529">
        <v>301.33</v>
      </c>
      <c r="J529">
        <v>1888.16</v>
      </c>
      <c r="K529">
        <v>5693.27</v>
      </c>
      <c r="L529">
        <v>4233.12</v>
      </c>
      <c r="M529">
        <v>372.62</v>
      </c>
      <c r="N529">
        <v>340.54</v>
      </c>
      <c r="O529">
        <v>450.31</v>
      </c>
      <c r="P529">
        <v>5396.59</v>
      </c>
      <c r="Q529">
        <v>0</v>
      </c>
      <c r="R529">
        <v>17</v>
      </c>
      <c r="S529">
        <v>260.19</v>
      </c>
      <c r="T529">
        <v>934.64</v>
      </c>
      <c r="U529">
        <v>83.42</v>
      </c>
      <c r="V529">
        <v>0</v>
      </c>
      <c r="W529">
        <v>2327.44</v>
      </c>
      <c r="X529">
        <v>3622.69</v>
      </c>
      <c r="Y529">
        <v>46.26</v>
      </c>
      <c r="Z529">
        <v>98.49</v>
      </c>
      <c r="AA529">
        <v>1923.37</v>
      </c>
      <c r="AB529">
        <v>82.4</v>
      </c>
      <c r="AC529">
        <v>1013.08</v>
      </c>
      <c r="AD529">
        <v>143.6</v>
      </c>
      <c r="AE529">
        <v>18019.740000000002</v>
      </c>
      <c r="AF529">
        <v>21492</v>
      </c>
      <c r="AG529" t="s">
        <v>91</v>
      </c>
      <c r="AH529" t="s">
        <v>92</v>
      </c>
      <c r="AI529" t="s">
        <v>91</v>
      </c>
      <c r="AJ529" t="s">
        <v>92</v>
      </c>
      <c r="AK529">
        <v>1159</v>
      </c>
      <c r="AL529" t="s">
        <v>44</v>
      </c>
      <c r="AM529">
        <v>1</v>
      </c>
      <c r="AN529">
        <v>1</v>
      </c>
      <c r="AO529">
        <v>2024</v>
      </c>
      <c r="AP529">
        <v>1</v>
      </c>
    </row>
    <row r="530" spans="1:42" x14ac:dyDescent="0.25">
      <c r="A530">
        <v>357.04</v>
      </c>
      <c r="B530">
        <v>2499.34</v>
      </c>
      <c r="C530">
        <v>529.04</v>
      </c>
      <c r="D530">
        <v>494.14</v>
      </c>
      <c r="E530">
        <v>0</v>
      </c>
      <c r="F530">
        <v>3879.56</v>
      </c>
      <c r="G530">
        <v>1278.9000000000001</v>
      </c>
      <c r="H530">
        <v>338.96</v>
      </c>
      <c r="I530">
        <v>307.23</v>
      </c>
      <c r="J530">
        <v>1925.1</v>
      </c>
      <c r="K530">
        <v>5804.65</v>
      </c>
      <c r="L530">
        <v>3725.19</v>
      </c>
      <c r="M530">
        <v>379.91</v>
      </c>
      <c r="N530">
        <v>347.21</v>
      </c>
      <c r="O530">
        <v>584.79</v>
      </c>
      <c r="P530">
        <v>5037.1000000000004</v>
      </c>
      <c r="Q530">
        <v>0</v>
      </c>
      <c r="R530">
        <v>17.34</v>
      </c>
      <c r="S530">
        <v>265.27999999999997</v>
      </c>
      <c r="T530">
        <v>952.92</v>
      </c>
      <c r="U530">
        <v>692.08</v>
      </c>
      <c r="V530">
        <v>0</v>
      </c>
      <c r="W530">
        <v>2372.98</v>
      </c>
      <c r="X530">
        <v>4300.59</v>
      </c>
      <c r="Y530">
        <v>47.16</v>
      </c>
      <c r="Z530">
        <v>100.42</v>
      </c>
      <c r="AA530">
        <v>1961</v>
      </c>
      <c r="AB530">
        <v>84.02</v>
      </c>
      <c r="AC530">
        <v>1258.19</v>
      </c>
      <c r="AD530">
        <v>146.41</v>
      </c>
      <c r="AE530">
        <v>18739.53</v>
      </c>
      <c r="AF530">
        <v>21492</v>
      </c>
      <c r="AG530" t="s">
        <v>91</v>
      </c>
      <c r="AH530" t="s">
        <v>92</v>
      </c>
      <c r="AI530" t="s">
        <v>91</v>
      </c>
      <c r="AJ530" t="s">
        <v>92</v>
      </c>
      <c r="AK530">
        <v>11019</v>
      </c>
      <c r="AL530" t="s">
        <v>47</v>
      </c>
      <c r="AM530">
        <v>1</v>
      </c>
      <c r="AN530">
        <v>1</v>
      </c>
      <c r="AO530">
        <v>2024</v>
      </c>
      <c r="AP530">
        <v>1</v>
      </c>
    </row>
    <row r="531" spans="1:42" x14ac:dyDescent="0.25">
      <c r="A531">
        <v>358.85</v>
      </c>
      <c r="B531">
        <v>2292.27</v>
      </c>
      <c r="C531">
        <v>200.02</v>
      </c>
      <c r="D531">
        <v>609.11</v>
      </c>
      <c r="E531">
        <v>0</v>
      </c>
      <c r="F531">
        <v>3460.24</v>
      </c>
      <c r="G531">
        <v>1184.1300000000001</v>
      </c>
      <c r="H531">
        <v>190.95</v>
      </c>
      <c r="I531">
        <v>329.86</v>
      </c>
      <c r="J531">
        <v>1704.94</v>
      </c>
      <c r="K531">
        <v>5165.17</v>
      </c>
      <c r="L531">
        <v>1504.29</v>
      </c>
      <c r="M531">
        <v>251.77</v>
      </c>
      <c r="N531">
        <v>21.52</v>
      </c>
      <c r="O531">
        <v>118.9</v>
      </c>
      <c r="P531">
        <v>1896.48</v>
      </c>
      <c r="Q531">
        <v>1.19</v>
      </c>
      <c r="R531">
        <v>16.18</v>
      </c>
      <c r="S531">
        <v>374.28</v>
      </c>
      <c r="T531">
        <v>1536.04</v>
      </c>
      <c r="U531">
        <v>34.51</v>
      </c>
      <c r="V531">
        <v>0</v>
      </c>
      <c r="W531">
        <v>1863.95</v>
      </c>
      <c r="X531">
        <v>3826.13</v>
      </c>
      <c r="Y531">
        <v>68.78</v>
      </c>
      <c r="Z531">
        <v>1314.45</v>
      </c>
      <c r="AA531">
        <v>433.62</v>
      </c>
      <c r="AB531">
        <v>2.11</v>
      </c>
      <c r="AC531">
        <v>56.37</v>
      </c>
      <c r="AD531">
        <v>27.89</v>
      </c>
      <c r="AE531">
        <v>12791</v>
      </c>
      <c r="AF531">
        <v>21875</v>
      </c>
      <c r="AG531" t="s">
        <v>113</v>
      </c>
      <c r="AH531" t="s">
        <v>114</v>
      </c>
      <c r="AI531" t="s">
        <v>113</v>
      </c>
      <c r="AJ531" t="s">
        <v>114</v>
      </c>
      <c r="AK531">
        <v>1225</v>
      </c>
      <c r="AL531" t="s">
        <v>115</v>
      </c>
      <c r="AM531">
        <v>1</v>
      </c>
      <c r="AN531">
        <v>1</v>
      </c>
      <c r="AO531">
        <v>2024</v>
      </c>
      <c r="AP531">
        <v>2</v>
      </c>
    </row>
    <row r="532" spans="1:42" x14ac:dyDescent="0.25">
      <c r="A532">
        <v>359.78</v>
      </c>
      <c r="B532">
        <v>921.89</v>
      </c>
      <c r="C532">
        <v>573.59</v>
      </c>
      <c r="F532">
        <v>1855.26</v>
      </c>
      <c r="H532">
        <v>310.54000000000002</v>
      </c>
      <c r="I532">
        <v>147.49</v>
      </c>
      <c r="J532">
        <v>458.03</v>
      </c>
      <c r="K532">
        <v>2313.3000000000002</v>
      </c>
      <c r="L532">
        <v>4638.6400000000003</v>
      </c>
      <c r="M532">
        <v>3298.15</v>
      </c>
      <c r="P532">
        <v>7936.79</v>
      </c>
      <c r="R532">
        <v>52.66</v>
      </c>
      <c r="S532">
        <v>335.35</v>
      </c>
      <c r="W532">
        <v>1042.96</v>
      </c>
      <c r="X532">
        <v>1430.97</v>
      </c>
      <c r="Y532">
        <v>600</v>
      </c>
      <c r="Z532">
        <v>75.11</v>
      </c>
      <c r="AA532">
        <v>1394.17</v>
      </c>
      <c r="AC532">
        <v>771.89</v>
      </c>
      <c r="AE532">
        <v>14522.22</v>
      </c>
      <c r="AF532">
        <v>20177</v>
      </c>
      <c r="AG532" t="s">
        <v>109</v>
      </c>
      <c r="AH532" t="s">
        <v>110</v>
      </c>
      <c r="AI532" t="s">
        <v>109</v>
      </c>
      <c r="AJ532" t="s">
        <v>110</v>
      </c>
      <c r="AK532">
        <v>6070</v>
      </c>
      <c r="AL532" t="s">
        <v>44</v>
      </c>
      <c r="AM532">
        <v>1</v>
      </c>
      <c r="AN532">
        <v>1</v>
      </c>
      <c r="AO532">
        <v>2024</v>
      </c>
      <c r="AP532">
        <v>1</v>
      </c>
    </row>
    <row r="533" spans="1:42" x14ac:dyDescent="0.25">
      <c r="A533">
        <v>362.6</v>
      </c>
      <c r="B533">
        <v>1162.42</v>
      </c>
      <c r="C533">
        <v>639.75</v>
      </c>
      <c r="F533">
        <v>2164.77</v>
      </c>
      <c r="H533">
        <v>343.13</v>
      </c>
      <c r="I533">
        <v>148.46</v>
      </c>
      <c r="J533">
        <v>491.59</v>
      </c>
      <c r="K533">
        <v>2656.36</v>
      </c>
      <c r="L533">
        <v>4664.1400000000003</v>
      </c>
      <c r="M533">
        <v>3030.79</v>
      </c>
      <c r="P533">
        <v>7694.93</v>
      </c>
      <c r="R533">
        <v>56.27</v>
      </c>
      <c r="S533">
        <v>312.85000000000002</v>
      </c>
      <c r="W533">
        <v>1279.97</v>
      </c>
      <c r="X533">
        <v>1649.09</v>
      </c>
      <c r="Y533">
        <v>608.75</v>
      </c>
      <c r="Z533">
        <v>75.73</v>
      </c>
      <c r="AA533">
        <v>1334.59</v>
      </c>
      <c r="AC533">
        <v>1004.37</v>
      </c>
      <c r="AE533">
        <v>15023.81</v>
      </c>
      <c r="AF533">
        <v>20177</v>
      </c>
      <c r="AG533" t="s">
        <v>109</v>
      </c>
      <c r="AH533" t="s">
        <v>110</v>
      </c>
      <c r="AI533" t="s">
        <v>109</v>
      </c>
      <c r="AJ533" t="s">
        <v>110</v>
      </c>
      <c r="AK533">
        <v>6070</v>
      </c>
      <c r="AL533" t="s">
        <v>44</v>
      </c>
      <c r="AM533">
        <v>1</v>
      </c>
      <c r="AN533">
        <v>1</v>
      </c>
      <c r="AO533">
        <v>2024</v>
      </c>
      <c r="AP533">
        <v>3</v>
      </c>
    </row>
    <row r="534" spans="1:42" x14ac:dyDescent="0.25">
      <c r="A534">
        <v>362.95</v>
      </c>
      <c r="B534">
        <v>3724.88</v>
      </c>
      <c r="C534">
        <v>1190.4100000000001</v>
      </c>
      <c r="D534">
        <v>14.16</v>
      </c>
      <c r="E534">
        <v>0</v>
      </c>
      <c r="F534">
        <v>5292.39</v>
      </c>
      <c r="G534">
        <v>566.01</v>
      </c>
      <c r="H534">
        <v>205.58</v>
      </c>
      <c r="I534">
        <v>302.47000000000003</v>
      </c>
      <c r="J534">
        <v>1074.06</v>
      </c>
      <c r="K534">
        <v>6366.45</v>
      </c>
      <c r="L534">
        <v>1.51</v>
      </c>
      <c r="M534">
        <v>162.69999999999999</v>
      </c>
      <c r="N534">
        <v>0</v>
      </c>
      <c r="O534">
        <v>0</v>
      </c>
      <c r="P534">
        <v>164.21</v>
      </c>
      <c r="Q534">
        <v>0</v>
      </c>
      <c r="R534">
        <v>0</v>
      </c>
      <c r="S534">
        <v>178.09</v>
      </c>
      <c r="T534">
        <v>0</v>
      </c>
      <c r="U534">
        <v>0</v>
      </c>
      <c r="V534">
        <v>0</v>
      </c>
      <c r="W534">
        <v>0</v>
      </c>
      <c r="X534">
        <v>178.09</v>
      </c>
      <c r="Y534">
        <v>0</v>
      </c>
      <c r="Z534">
        <v>538.91999999999996</v>
      </c>
      <c r="AA534">
        <v>153.80000000000001</v>
      </c>
      <c r="AB534">
        <v>0</v>
      </c>
      <c r="AC534">
        <v>6307.24</v>
      </c>
      <c r="AD534">
        <v>0</v>
      </c>
      <c r="AE534">
        <v>13708.71</v>
      </c>
      <c r="AF534">
        <v>20378</v>
      </c>
      <c r="AG534" t="s">
        <v>67</v>
      </c>
      <c r="AH534" t="s">
        <v>68</v>
      </c>
      <c r="AI534" t="s">
        <v>67</v>
      </c>
      <c r="AJ534" t="s">
        <v>68</v>
      </c>
      <c r="AK534">
        <v>11022</v>
      </c>
      <c r="AL534" t="s">
        <v>50</v>
      </c>
      <c r="AM534">
        <v>2</v>
      </c>
      <c r="AN534">
        <v>2</v>
      </c>
      <c r="AO534">
        <v>2024</v>
      </c>
      <c r="AP534">
        <v>4</v>
      </c>
    </row>
    <row r="535" spans="1:42" x14ac:dyDescent="0.25">
      <c r="A535">
        <v>365.01</v>
      </c>
      <c r="B535">
        <v>982.42</v>
      </c>
      <c r="C535">
        <v>593.87</v>
      </c>
      <c r="F535">
        <v>1941.3</v>
      </c>
      <c r="H535">
        <v>307.63</v>
      </c>
      <c r="I535">
        <v>154.59</v>
      </c>
      <c r="J535">
        <v>462.22</v>
      </c>
      <c r="K535">
        <v>2403.5300000000002</v>
      </c>
      <c r="L535">
        <v>4319.63</v>
      </c>
      <c r="M535">
        <v>3273.59</v>
      </c>
      <c r="P535">
        <v>7593.22</v>
      </c>
      <c r="R535">
        <v>55.28</v>
      </c>
      <c r="S535">
        <v>351.5</v>
      </c>
      <c r="W535">
        <v>961.96</v>
      </c>
      <c r="X535">
        <v>1368.74</v>
      </c>
      <c r="Y535">
        <v>514.05999999999995</v>
      </c>
      <c r="Z535">
        <v>75.73</v>
      </c>
      <c r="AA535">
        <v>1385.88</v>
      </c>
      <c r="AC535">
        <v>835.95</v>
      </c>
      <c r="AE535">
        <v>14177.1</v>
      </c>
      <c r="AF535">
        <v>20177</v>
      </c>
      <c r="AG535" t="s">
        <v>109</v>
      </c>
      <c r="AH535" t="s">
        <v>110</v>
      </c>
      <c r="AI535" t="s">
        <v>109</v>
      </c>
      <c r="AJ535" t="s">
        <v>110</v>
      </c>
      <c r="AK535">
        <v>6070</v>
      </c>
      <c r="AL535" t="s">
        <v>44</v>
      </c>
      <c r="AM535">
        <v>1</v>
      </c>
      <c r="AN535">
        <v>1</v>
      </c>
      <c r="AO535">
        <v>2024</v>
      </c>
      <c r="AP535">
        <v>2</v>
      </c>
    </row>
    <row r="536" spans="1:42" x14ac:dyDescent="0.25">
      <c r="A536">
        <v>365.05</v>
      </c>
      <c r="B536">
        <v>1268</v>
      </c>
      <c r="C536">
        <v>637.41999999999996</v>
      </c>
      <c r="F536">
        <v>2270.46</v>
      </c>
      <c r="H536">
        <v>361.37</v>
      </c>
      <c r="I536">
        <v>142.88999999999999</v>
      </c>
      <c r="J536">
        <v>504.25</v>
      </c>
      <c r="K536">
        <v>2774.72</v>
      </c>
      <c r="L536">
        <v>5532.62</v>
      </c>
      <c r="M536">
        <v>3790.59</v>
      </c>
      <c r="P536">
        <v>9323.2000000000007</v>
      </c>
      <c r="R536">
        <v>57.58</v>
      </c>
      <c r="S536">
        <v>347.76</v>
      </c>
      <c r="W536">
        <v>1956.6</v>
      </c>
      <c r="X536">
        <v>2361.94</v>
      </c>
      <c r="Y536">
        <v>709.76</v>
      </c>
      <c r="Z536">
        <v>75.73</v>
      </c>
      <c r="AA536">
        <v>1220.77</v>
      </c>
      <c r="AC536">
        <v>1245.71</v>
      </c>
      <c r="AE536">
        <v>17711.830000000002</v>
      </c>
      <c r="AF536">
        <v>20177</v>
      </c>
      <c r="AG536" t="s">
        <v>109</v>
      </c>
      <c r="AH536" t="s">
        <v>110</v>
      </c>
      <c r="AI536" t="s">
        <v>109</v>
      </c>
      <c r="AJ536" t="s">
        <v>110</v>
      </c>
      <c r="AK536">
        <v>6070</v>
      </c>
      <c r="AL536" t="s">
        <v>44</v>
      </c>
      <c r="AM536">
        <v>1</v>
      </c>
      <c r="AN536">
        <v>1</v>
      </c>
      <c r="AO536">
        <v>2024</v>
      </c>
      <c r="AP536">
        <v>4</v>
      </c>
    </row>
    <row r="537" spans="1:42" x14ac:dyDescent="0.25">
      <c r="A537">
        <v>365.83</v>
      </c>
      <c r="B537">
        <v>4275.8500000000004</v>
      </c>
      <c r="C537">
        <v>737.49</v>
      </c>
      <c r="D537">
        <v>61.75</v>
      </c>
      <c r="E537">
        <v>0</v>
      </c>
      <c r="F537">
        <v>5440.92</v>
      </c>
      <c r="G537">
        <v>941.98</v>
      </c>
      <c r="H537">
        <v>816.04</v>
      </c>
      <c r="I537">
        <v>352.09</v>
      </c>
      <c r="J537">
        <v>2110.12</v>
      </c>
      <c r="K537">
        <v>7551.04</v>
      </c>
      <c r="L537">
        <v>11.1</v>
      </c>
      <c r="M537">
        <v>1180.5999999999999</v>
      </c>
      <c r="N537">
        <v>1.77</v>
      </c>
      <c r="O537">
        <v>217.64</v>
      </c>
      <c r="P537">
        <v>1411.11</v>
      </c>
      <c r="Q537">
        <v>1.94</v>
      </c>
      <c r="R537">
        <v>0</v>
      </c>
      <c r="S537">
        <v>87.24</v>
      </c>
      <c r="T537">
        <v>1265.3699999999999</v>
      </c>
      <c r="U537">
        <v>0</v>
      </c>
      <c r="V537">
        <v>0</v>
      </c>
      <c r="W537">
        <v>76.42</v>
      </c>
      <c r="X537">
        <v>1430.97</v>
      </c>
      <c r="Y537">
        <v>0.1</v>
      </c>
      <c r="Z537">
        <v>66.599999999999994</v>
      </c>
      <c r="AA537">
        <v>339.13</v>
      </c>
      <c r="AB537">
        <v>26.87</v>
      </c>
      <c r="AC537">
        <v>675.87</v>
      </c>
      <c r="AD537">
        <v>0</v>
      </c>
      <c r="AE537">
        <v>11501.68</v>
      </c>
      <c r="AF537">
        <v>20304</v>
      </c>
      <c r="AG537" t="s">
        <v>103</v>
      </c>
      <c r="AH537" t="s">
        <v>104</v>
      </c>
      <c r="AI537" t="s">
        <v>103</v>
      </c>
      <c r="AJ537" t="s">
        <v>104</v>
      </c>
      <c r="AK537">
        <v>11025</v>
      </c>
      <c r="AL537" t="s">
        <v>50</v>
      </c>
      <c r="AM537">
        <v>3</v>
      </c>
      <c r="AN537">
        <v>3</v>
      </c>
      <c r="AO537">
        <v>2024</v>
      </c>
      <c r="AP537">
        <v>4</v>
      </c>
    </row>
    <row r="538" spans="1:42" x14ac:dyDescent="0.25">
      <c r="A538">
        <v>367.58</v>
      </c>
      <c r="B538">
        <v>1373.32</v>
      </c>
      <c r="C538">
        <v>1579.2</v>
      </c>
      <c r="D538">
        <v>1115.8499999999999</v>
      </c>
      <c r="E538">
        <v>1127.4100000000001</v>
      </c>
      <c r="F538">
        <v>5563.36</v>
      </c>
      <c r="G538">
        <v>158.03</v>
      </c>
      <c r="H538">
        <v>465.45</v>
      </c>
      <c r="I538">
        <v>446.32</v>
      </c>
      <c r="J538">
        <v>1069.8</v>
      </c>
      <c r="K538">
        <v>6633.16</v>
      </c>
      <c r="L538">
        <v>3209.52</v>
      </c>
      <c r="M538">
        <v>1314.27</v>
      </c>
      <c r="O538">
        <v>257.11</v>
      </c>
      <c r="P538">
        <v>4780.8999999999996</v>
      </c>
      <c r="Q538">
        <v>16.7</v>
      </c>
      <c r="R538">
        <v>77.47</v>
      </c>
      <c r="S538">
        <v>553.84</v>
      </c>
      <c r="T538">
        <v>1730.77</v>
      </c>
      <c r="W538">
        <v>1472.65</v>
      </c>
      <c r="X538">
        <v>3851.41</v>
      </c>
      <c r="Y538">
        <v>133.22</v>
      </c>
      <c r="Z538">
        <v>2736.54</v>
      </c>
      <c r="AA538">
        <v>1336.47</v>
      </c>
      <c r="AC538">
        <v>52.78</v>
      </c>
      <c r="AD538">
        <v>110.87</v>
      </c>
      <c r="AE538">
        <v>19635.349999999999</v>
      </c>
      <c r="AF538">
        <v>20408</v>
      </c>
      <c r="AG538" t="s">
        <v>101</v>
      </c>
      <c r="AH538" t="s">
        <v>102</v>
      </c>
      <c r="AI538" t="s">
        <v>101</v>
      </c>
      <c r="AJ538" t="s">
        <v>102</v>
      </c>
      <c r="AK538">
        <v>6860</v>
      </c>
      <c r="AL538" t="s">
        <v>44</v>
      </c>
      <c r="AM538">
        <v>1</v>
      </c>
      <c r="AN538">
        <v>1</v>
      </c>
      <c r="AO538">
        <v>2024</v>
      </c>
      <c r="AP538">
        <v>3</v>
      </c>
    </row>
    <row r="539" spans="1:42" x14ac:dyDescent="0.25">
      <c r="A539">
        <v>368.85</v>
      </c>
      <c r="B539">
        <v>1019.36</v>
      </c>
      <c r="C539">
        <v>738.55</v>
      </c>
      <c r="D539">
        <v>570.57000000000005</v>
      </c>
      <c r="E539">
        <v>0</v>
      </c>
      <c r="F539">
        <v>2697.33</v>
      </c>
      <c r="G539">
        <v>376.42</v>
      </c>
      <c r="H539">
        <v>92.54</v>
      </c>
      <c r="I539">
        <v>244.08</v>
      </c>
      <c r="J539">
        <v>713.04</v>
      </c>
      <c r="K539">
        <v>3410.37</v>
      </c>
      <c r="L539">
        <v>1795.62</v>
      </c>
      <c r="M539">
        <v>188.93</v>
      </c>
      <c r="N539">
        <v>53.18</v>
      </c>
      <c r="O539">
        <v>23.19</v>
      </c>
      <c r="P539">
        <v>2060.9299999999998</v>
      </c>
      <c r="Q539">
        <v>17.97</v>
      </c>
      <c r="R539">
        <v>50.11</v>
      </c>
      <c r="S539">
        <v>364.22</v>
      </c>
      <c r="T539">
        <v>705.11</v>
      </c>
      <c r="U539">
        <v>0</v>
      </c>
      <c r="V539">
        <v>0</v>
      </c>
      <c r="W539">
        <v>474.09</v>
      </c>
      <c r="X539">
        <v>1611.5</v>
      </c>
      <c r="Y539">
        <v>94.88</v>
      </c>
      <c r="Z539">
        <v>32.04</v>
      </c>
      <c r="AA539">
        <v>0</v>
      </c>
      <c r="AB539">
        <v>496.39</v>
      </c>
      <c r="AC539">
        <v>1884.19</v>
      </c>
      <c r="AD539">
        <v>0</v>
      </c>
      <c r="AE539">
        <v>9590.2999999999993</v>
      </c>
      <c r="AF539">
        <v>20310</v>
      </c>
      <c r="AG539" t="s">
        <v>71</v>
      </c>
      <c r="AH539" t="s">
        <v>72</v>
      </c>
      <c r="AI539" t="s">
        <v>71</v>
      </c>
      <c r="AJ539" t="s">
        <v>72</v>
      </c>
      <c r="AK539">
        <v>6076</v>
      </c>
      <c r="AL539" t="s">
        <v>44</v>
      </c>
      <c r="AM539">
        <v>1</v>
      </c>
      <c r="AN539">
        <v>1</v>
      </c>
      <c r="AO539">
        <v>2024</v>
      </c>
      <c r="AP539">
        <v>1</v>
      </c>
    </row>
    <row r="540" spans="1:42" x14ac:dyDescent="0.25">
      <c r="A540">
        <v>369.64</v>
      </c>
      <c r="B540">
        <v>15438.72</v>
      </c>
      <c r="C540">
        <v>5373.28</v>
      </c>
      <c r="D540">
        <v>2137.23</v>
      </c>
      <c r="E540">
        <v>2925.05</v>
      </c>
      <c r="F540">
        <v>26243.919999999998</v>
      </c>
      <c r="G540">
        <v>14926.29</v>
      </c>
      <c r="H540">
        <v>3522.65</v>
      </c>
      <c r="I540">
        <v>1655.03</v>
      </c>
      <c r="J540">
        <v>20103.97</v>
      </c>
      <c r="K540">
        <v>46347.89</v>
      </c>
      <c r="L540">
        <v>28975.599999999999</v>
      </c>
      <c r="M540">
        <v>98.83</v>
      </c>
      <c r="N540">
        <v>4907.5</v>
      </c>
      <c r="O540">
        <v>1979.07</v>
      </c>
      <c r="P540">
        <v>35960.99</v>
      </c>
      <c r="Q540">
        <v>5.08</v>
      </c>
      <c r="R540">
        <v>172.83</v>
      </c>
      <c r="S540">
        <v>827.16</v>
      </c>
      <c r="T540">
        <v>0</v>
      </c>
      <c r="U540">
        <v>2513.4699999999998</v>
      </c>
      <c r="V540">
        <v>0</v>
      </c>
      <c r="W540">
        <v>4901.87</v>
      </c>
      <c r="X540">
        <v>8420.41</v>
      </c>
      <c r="Y540">
        <v>912.84</v>
      </c>
      <c r="Z540">
        <v>11456.82</v>
      </c>
      <c r="AA540">
        <v>6750.56</v>
      </c>
      <c r="AB540">
        <v>2348.17</v>
      </c>
      <c r="AC540">
        <v>10282.049999999999</v>
      </c>
      <c r="AD540">
        <v>0</v>
      </c>
      <c r="AE540">
        <v>122479.74</v>
      </c>
      <c r="AF540">
        <v>20377</v>
      </c>
      <c r="AG540" t="s">
        <v>69</v>
      </c>
      <c r="AH540" t="s">
        <v>70</v>
      </c>
      <c r="AI540" t="s">
        <v>69</v>
      </c>
      <c r="AJ540" t="s">
        <v>70</v>
      </c>
      <c r="AK540">
        <v>16736</v>
      </c>
      <c r="AL540" t="s">
        <v>47</v>
      </c>
      <c r="AM540">
        <v>2</v>
      </c>
      <c r="AN540">
        <v>2</v>
      </c>
      <c r="AO540">
        <v>2024</v>
      </c>
      <c r="AP540">
        <v>3</v>
      </c>
    </row>
    <row r="541" spans="1:42" x14ac:dyDescent="0.25">
      <c r="A541">
        <v>376.94</v>
      </c>
      <c r="B541">
        <v>15361.77</v>
      </c>
      <c r="C541">
        <v>5180.74</v>
      </c>
      <c r="D541">
        <v>2077.63</v>
      </c>
      <c r="E541">
        <v>1753.18</v>
      </c>
      <c r="F541">
        <v>24750.27</v>
      </c>
      <c r="G541">
        <v>14076.39</v>
      </c>
      <c r="H541">
        <v>4027.43</v>
      </c>
      <c r="I541">
        <v>1373.01</v>
      </c>
      <c r="J541">
        <v>19476.830000000002</v>
      </c>
      <c r="K541">
        <v>44227.1</v>
      </c>
      <c r="L541">
        <v>27078.400000000001</v>
      </c>
      <c r="M541">
        <v>177.91</v>
      </c>
      <c r="N541">
        <v>5253.33</v>
      </c>
      <c r="O541">
        <v>1194.77</v>
      </c>
      <c r="P541">
        <v>33704.400000000001</v>
      </c>
      <c r="Q541">
        <v>10.64</v>
      </c>
      <c r="R541">
        <v>156.44999999999999</v>
      </c>
      <c r="S541">
        <v>663.59</v>
      </c>
      <c r="T541">
        <v>0</v>
      </c>
      <c r="U541">
        <v>3205.49</v>
      </c>
      <c r="V541">
        <v>0</v>
      </c>
      <c r="W541">
        <v>4968.83</v>
      </c>
      <c r="X541">
        <v>9005.01</v>
      </c>
      <c r="Y541">
        <v>972.47</v>
      </c>
      <c r="Z541">
        <v>11032.88</v>
      </c>
      <c r="AA541">
        <v>7336.61</v>
      </c>
      <c r="AB541">
        <v>6797.04</v>
      </c>
      <c r="AC541">
        <v>13990.04</v>
      </c>
      <c r="AD541">
        <v>0</v>
      </c>
      <c r="AE541">
        <v>127065.54</v>
      </c>
      <c r="AF541">
        <v>20377</v>
      </c>
      <c r="AG541" t="s">
        <v>69</v>
      </c>
      <c r="AH541" t="s">
        <v>70</v>
      </c>
      <c r="AI541" t="s">
        <v>69</v>
      </c>
      <c r="AJ541" t="s">
        <v>70</v>
      </c>
      <c r="AK541">
        <v>16736</v>
      </c>
      <c r="AL541" t="s">
        <v>47</v>
      </c>
      <c r="AM541">
        <v>2</v>
      </c>
      <c r="AN541">
        <v>2</v>
      </c>
      <c r="AO541">
        <v>2024</v>
      </c>
      <c r="AP541">
        <v>4</v>
      </c>
    </row>
    <row r="542" spans="1:42" x14ac:dyDescent="0.25">
      <c r="A542">
        <v>380.88</v>
      </c>
      <c r="B542">
        <v>5386.62</v>
      </c>
      <c r="C542">
        <v>1368.76</v>
      </c>
      <c r="D542">
        <v>1677.81</v>
      </c>
      <c r="E542">
        <v>1826.97</v>
      </c>
      <c r="F542">
        <v>10641.04</v>
      </c>
      <c r="G542">
        <v>1064.03</v>
      </c>
      <c r="H542">
        <v>941.94</v>
      </c>
      <c r="I542">
        <v>534.47</v>
      </c>
      <c r="J542">
        <v>2540.44</v>
      </c>
      <c r="K542">
        <v>13181.48</v>
      </c>
      <c r="L542">
        <v>8309.7000000000007</v>
      </c>
      <c r="M542">
        <v>1274.3399999999999</v>
      </c>
      <c r="N542">
        <v>0</v>
      </c>
      <c r="O542">
        <v>473.16</v>
      </c>
      <c r="P542">
        <v>10057.19</v>
      </c>
      <c r="Q542">
        <v>75.56</v>
      </c>
      <c r="R542">
        <v>651.04</v>
      </c>
      <c r="S542">
        <v>373.5</v>
      </c>
      <c r="T542">
        <v>5372.62</v>
      </c>
      <c r="U542">
        <v>0</v>
      </c>
      <c r="V542">
        <v>726.42</v>
      </c>
      <c r="W542">
        <v>5099.38</v>
      </c>
      <c r="X542">
        <v>12298.52</v>
      </c>
      <c r="Y542">
        <v>910.19</v>
      </c>
      <c r="Z542">
        <v>5363.31</v>
      </c>
      <c r="AA542">
        <v>1117.18</v>
      </c>
      <c r="AB542">
        <v>690.92</v>
      </c>
      <c r="AC542">
        <v>811.16</v>
      </c>
      <c r="AD542">
        <v>1986.72</v>
      </c>
      <c r="AE542">
        <v>46416.66</v>
      </c>
      <c r="AF542">
        <v>20151</v>
      </c>
      <c r="AG542" t="s">
        <v>97</v>
      </c>
      <c r="AH542" t="s">
        <v>98</v>
      </c>
      <c r="AI542" t="s">
        <v>97</v>
      </c>
      <c r="AJ542" t="s">
        <v>98</v>
      </c>
      <c r="AK542">
        <v>6052</v>
      </c>
      <c r="AL542" t="s">
        <v>44</v>
      </c>
      <c r="AM542">
        <v>2</v>
      </c>
      <c r="AN542">
        <v>2</v>
      </c>
      <c r="AO542">
        <v>2024</v>
      </c>
      <c r="AP542">
        <v>4</v>
      </c>
    </row>
    <row r="543" spans="1:42" x14ac:dyDescent="0.25">
      <c r="A543">
        <v>395.18</v>
      </c>
      <c r="B543">
        <v>2335.1999999999998</v>
      </c>
      <c r="C543">
        <v>1015.14</v>
      </c>
      <c r="D543">
        <v>294.08999999999997</v>
      </c>
      <c r="E543">
        <v>563.4</v>
      </c>
      <c r="F543">
        <v>4603.01</v>
      </c>
      <c r="G543">
        <v>9.01</v>
      </c>
      <c r="H543">
        <v>545.41</v>
      </c>
      <c r="I543">
        <v>311.76</v>
      </c>
      <c r="J543">
        <v>866.18</v>
      </c>
      <c r="K543">
        <v>5469.19</v>
      </c>
      <c r="L543">
        <v>1317.45</v>
      </c>
      <c r="M543">
        <v>3851.3</v>
      </c>
      <c r="N543">
        <v>0</v>
      </c>
      <c r="P543">
        <v>5168.74</v>
      </c>
      <c r="Q543">
        <v>0</v>
      </c>
      <c r="R543">
        <v>223.76</v>
      </c>
      <c r="S543">
        <v>205.38</v>
      </c>
      <c r="T543">
        <v>696.46</v>
      </c>
      <c r="W543">
        <v>0</v>
      </c>
      <c r="X543">
        <v>1125.5899999999999</v>
      </c>
      <c r="Y543">
        <v>374.37</v>
      </c>
      <c r="Z543">
        <v>0</v>
      </c>
      <c r="AA543">
        <v>2930.39</v>
      </c>
      <c r="AC543">
        <v>466.78</v>
      </c>
      <c r="AD543">
        <v>0</v>
      </c>
      <c r="AE543">
        <v>15535.08</v>
      </c>
      <c r="AF543">
        <v>20372</v>
      </c>
      <c r="AG543" t="s">
        <v>45</v>
      </c>
      <c r="AH543" t="s">
        <v>46</v>
      </c>
      <c r="AI543" t="s">
        <v>45</v>
      </c>
      <c r="AJ543" t="s">
        <v>46</v>
      </c>
      <c r="AK543">
        <v>6774</v>
      </c>
      <c r="AL543" t="s">
        <v>44</v>
      </c>
      <c r="AM543">
        <v>1</v>
      </c>
      <c r="AN543">
        <v>1</v>
      </c>
      <c r="AO543">
        <v>2024</v>
      </c>
      <c r="AP543">
        <v>3</v>
      </c>
    </row>
    <row r="544" spans="1:42" x14ac:dyDescent="0.25">
      <c r="A544">
        <v>402.29</v>
      </c>
      <c r="B544">
        <v>1598.59</v>
      </c>
      <c r="C544">
        <v>404.35</v>
      </c>
      <c r="D544">
        <v>344.57</v>
      </c>
      <c r="E544">
        <v>0</v>
      </c>
      <c r="F544">
        <v>2749.81</v>
      </c>
      <c r="G544">
        <v>2.31</v>
      </c>
      <c r="H544">
        <v>352.96</v>
      </c>
      <c r="I544">
        <v>192.94</v>
      </c>
      <c r="J544">
        <v>548.21</v>
      </c>
      <c r="K544">
        <v>3298.02</v>
      </c>
      <c r="L544">
        <v>1029.1600000000001</v>
      </c>
      <c r="M544">
        <v>1096.0999999999999</v>
      </c>
      <c r="N544">
        <v>96.21</v>
      </c>
      <c r="O544">
        <v>70.430000000000007</v>
      </c>
      <c r="P544">
        <v>2291.89</v>
      </c>
      <c r="Q544">
        <v>3.92</v>
      </c>
      <c r="R544">
        <v>98.25</v>
      </c>
      <c r="S544">
        <v>157.24</v>
      </c>
      <c r="T544">
        <v>0</v>
      </c>
      <c r="U544">
        <v>27.81</v>
      </c>
      <c r="V544">
        <v>0</v>
      </c>
      <c r="W544">
        <v>1585.48</v>
      </c>
      <c r="X544">
        <v>1872.7</v>
      </c>
      <c r="Y544">
        <v>113.96</v>
      </c>
      <c r="Z544">
        <v>310.42</v>
      </c>
      <c r="AA544">
        <v>848.34</v>
      </c>
      <c r="AB544">
        <v>787.13</v>
      </c>
      <c r="AC544">
        <v>1089.21</v>
      </c>
      <c r="AD544">
        <v>0</v>
      </c>
      <c r="AE544">
        <v>10611.67</v>
      </c>
      <c r="AF544">
        <v>21161</v>
      </c>
      <c r="AG544" t="s">
        <v>152</v>
      </c>
      <c r="AH544" t="s">
        <v>153</v>
      </c>
      <c r="AI544" t="s">
        <v>152</v>
      </c>
      <c r="AJ544" t="s">
        <v>153</v>
      </c>
      <c r="AK544">
        <v>11054</v>
      </c>
      <c r="AL544" t="s">
        <v>47</v>
      </c>
      <c r="AM544">
        <v>2</v>
      </c>
      <c r="AN544">
        <v>2</v>
      </c>
      <c r="AO544">
        <v>2024</v>
      </c>
      <c r="AP544">
        <v>1</v>
      </c>
    </row>
    <row r="545" spans="1:42" x14ac:dyDescent="0.25">
      <c r="A545">
        <v>405.59</v>
      </c>
      <c r="B545">
        <v>6267.22</v>
      </c>
      <c r="C545">
        <v>1627.17</v>
      </c>
      <c r="D545">
        <v>1627.34</v>
      </c>
      <c r="E545">
        <v>2390.2199999999998</v>
      </c>
      <c r="F545">
        <v>12317.54</v>
      </c>
      <c r="G545">
        <v>1637.44</v>
      </c>
      <c r="H545">
        <v>1065.9100000000001</v>
      </c>
      <c r="I545">
        <v>893.09</v>
      </c>
      <c r="J545">
        <v>3596.44</v>
      </c>
      <c r="K545">
        <v>15913.97</v>
      </c>
      <c r="L545">
        <v>11851.51</v>
      </c>
      <c r="M545">
        <v>1537.65</v>
      </c>
      <c r="N545">
        <v>0</v>
      </c>
      <c r="O545">
        <v>598.03</v>
      </c>
      <c r="P545">
        <v>13987.19</v>
      </c>
      <c r="Q545">
        <v>27.19</v>
      </c>
      <c r="R545">
        <v>656.48</v>
      </c>
      <c r="S545">
        <v>545.85</v>
      </c>
      <c r="T545">
        <v>5039.07</v>
      </c>
      <c r="U545">
        <v>0</v>
      </c>
      <c r="V545">
        <v>552.66999999999996</v>
      </c>
      <c r="W545">
        <v>4506.03</v>
      </c>
      <c r="X545">
        <v>11327.29</v>
      </c>
      <c r="Y545">
        <v>898.46</v>
      </c>
      <c r="Z545">
        <v>7309.38</v>
      </c>
      <c r="AA545">
        <v>1090.57</v>
      </c>
      <c r="AB545">
        <v>856.53</v>
      </c>
      <c r="AC545">
        <v>512.86</v>
      </c>
      <c r="AD545">
        <v>2850.38</v>
      </c>
      <c r="AE545">
        <v>54746.63</v>
      </c>
      <c r="AF545">
        <v>20151</v>
      </c>
      <c r="AG545" t="s">
        <v>97</v>
      </c>
      <c r="AH545" t="s">
        <v>98</v>
      </c>
      <c r="AI545" t="s">
        <v>97</v>
      </c>
      <c r="AJ545" t="s">
        <v>98</v>
      </c>
      <c r="AK545">
        <v>6052</v>
      </c>
      <c r="AL545" t="s">
        <v>44</v>
      </c>
      <c r="AM545">
        <v>2</v>
      </c>
      <c r="AN545">
        <v>2</v>
      </c>
      <c r="AO545">
        <v>2024</v>
      </c>
      <c r="AP545">
        <v>1</v>
      </c>
    </row>
    <row r="546" spans="1:42" x14ac:dyDescent="0.25">
      <c r="A546">
        <v>415.45</v>
      </c>
      <c r="B546">
        <v>79177.69</v>
      </c>
      <c r="C546">
        <v>22076.2</v>
      </c>
      <c r="D546">
        <v>22433.01</v>
      </c>
      <c r="E546">
        <v>23904.29</v>
      </c>
      <c r="F546">
        <v>148006.64000000001</v>
      </c>
      <c r="G546">
        <v>11986.67</v>
      </c>
      <c r="H546">
        <v>40115.5</v>
      </c>
      <c r="I546">
        <v>9027.27</v>
      </c>
      <c r="J546">
        <v>61129.440000000002</v>
      </c>
      <c r="K546">
        <v>209136.08</v>
      </c>
      <c r="L546">
        <v>103348.76</v>
      </c>
      <c r="M546">
        <v>17295.68</v>
      </c>
      <c r="N546">
        <v>14325.44</v>
      </c>
      <c r="O546">
        <v>1783.32</v>
      </c>
      <c r="P546">
        <v>136753.21</v>
      </c>
      <c r="Q546">
        <v>2109.48</v>
      </c>
      <c r="R546">
        <v>5584.63</v>
      </c>
      <c r="S546">
        <v>1341.91</v>
      </c>
      <c r="T546">
        <v>29449.07</v>
      </c>
      <c r="U546">
        <v>3845.5</v>
      </c>
      <c r="V546">
        <v>0</v>
      </c>
      <c r="W546">
        <v>52867.18</v>
      </c>
      <c r="X546">
        <v>95197.77</v>
      </c>
      <c r="Y546">
        <v>12720.85</v>
      </c>
      <c r="Z546">
        <v>38870.239999999998</v>
      </c>
      <c r="AA546">
        <v>22635.18</v>
      </c>
      <c r="AB546">
        <v>1473.26</v>
      </c>
      <c r="AC546">
        <v>1847.22</v>
      </c>
      <c r="AD546">
        <v>1713.56</v>
      </c>
      <c r="AE546">
        <v>520347.37</v>
      </c>
      <c r="AF546">
        <v>19805</v>
      </c>
      <c r="AG546" t="s">
        <v>105</v>
      </c>
      <c r="AH546" t="s">
        <v>106</v>
      </c>
      <c r="AI546" t="s">
        <v>105</v>
      </c>
      <c r="AJ546" t="s">
        <v>106</v>
      </c>
      <c r="AK546">
        <v>10052</v>
      </c>
      <c r="AL546" t="s">
        <v>64</v>
      </c>
      <c r="AM546">
        <v>3</v>
      </c>
      <c r="AN546">
        <v>3</v>
      </c>
      <c r="AO546">
        <v>2024</v>
      </c>
      <c r="AP546">
        <v>4</v>
      </c>
    </row>
    <row r="547" spans="1:42" x14ac:dyDescent="0.25">
      <c r="A547">
        <v>420.51</v>
      </c>
      <c r="B547">
        <v>2344.25</v>
      </c>
      <c r="C547">
        <v>913.64</v>
      </c>
      <c r="D547">
        <v>266.57</v>
      </c>
      <c r="E547">
        <v>727.04</v>
      </c>
      <c r="F547">
        <v>4672.01</v>
      </c>
      <c r="G547">
        <v>39.33</v>
      </c>
      <c r="H547">
        <v>690.17</v>
      </c>
      <c r="I547">
        <v>394.8</v>
      </c>
      <c r="J547">
        <v>1124.3</v>
      </c>
      <c r="K547">
        <v>5796.31</v>
      </c>
      <c r="L547">
        <v>1900.49</v>
      </c>
      <c r="M547">
        <v>3601.68</v>
      </c>
      <c r="N547">
        <v>0</v>
      </c>
      <c r="P547">
        <v>5502.16</v>
      </c>
      <c r="Q547">
        <v>0</v>
      </c>
      <c r="R547">
        <v>132.04</v>
      </c>
      <c r="S547">
        <v>189.35</v>
      </c>
      <c r="T547">
        <v>1935.92</v>
      </c>
      <c r="W547">
        <v>0</v>
      </c>
      <c r="X547">
        <v>2257.31</v>
      </c>
      <c r="Y547">
        <v>553.66999999999996</v>
      </c>
      <c r="Z547">
        <v>0</v>
      </c>
      <c r="AA547">
        <v>3092.6</v>
      </c>
      <c r="AC547">
        <v>1207.73</v>
      </c>
      <c r="AD547">
        <v>0</v>
      </c>
      <c r="AE547">
        <v>18409.78</v>
      </c>
      <c r="AF547">
        <v>20372</v>
      </c>
      <c r="AG547" t="s">
        <v>45</v>
      </c>
      <c r="AH547" t="s">
        <v>46</v>
      </c>
      <c r="AI547" t="s">
        <v>45</v>
      </c>
      <c r="AJ547" t="s">
        <v>46</v>
      </c>
      <c r="AK547">
        <v>6774</v>
      </c>
      <c r="AL547" t="s">
        <v>44</v>
      </c>
      <c r="AM547">
        <v>1</v>
      </c>
      <c r="AN547">
        <v>1</v>
      </c>
      <c r="AO547">
        <v>2024</v>
      </c>
      <c r="AP547">
        <v>1</v>
      </c>
    </row>
    <row r="548" spans="1:42" x14ac:dyDescent="0.25">
      <c r="A548">
        <v>423.34</v>
      </c>
      <c r="B548">
        <v>2119.91</v>
      </c>
      <c r="C548">
        <v>926.54</v>
      </c>
      <c r="D548">
        <v>281.55</v>
      </c>
      <c r="E548">
        <v>724</v>
      </c>
      <c r="F548">
        <v>4475.33</v>
      </c>
      <c r="G548">
        <v>39.33</v>
      </c>
      <c r="H548">
        <v>580.11</v>
      </c>
      <c r="I548">
        <v>316.8</v>
      </c>
      <c r="J548">
        <v>936.25</v>
      </c>
      <c r="K548">
        <v>5411.58</v>
      </c>
      <c r="L548">
        <v>2478.84</v>
      </c>
      <c r="M548">
        <v>4643.22</v>
      </c>
      <c r="N548">
        <v>0</v>
      </c>
      <c r="P548">
        <v>7122.06</v>
      </c>
      <c r="Q548">
        <v>0</v>
      </c>
      <c r="R548">
        <v>62.13</v>
      </c>
      <c r="S548">
        <v>702.8</v>
      </c>
      <c r="T548">
        <v>696.46</v>
      </c>
      <c r="W548">
        <v>0</v>
      </c>
      <c r="X548">
        <v>1461.39</v>
      </c>
      <c r="Y548">
        <v>613.98</v>
      </c>
      <c r="Z548">
        <v>0</v>
      </c>
      <c r="AA548">
        <v>2955</v>
      </c>
      <c r="AC548">
        <v>498.06</v>
      </c>
      <c r="AD548">
        <v>0</v>
      </c>
      <c r="AE548">
        <v>18062.060000000001</v>
      </c>
      <c r="AF548">
        <v>20372</v>
      </c>
      <c r="AG548" t="s">
        <v>45</v>
      </c>
      <c r="AH548" t="s">
        <v>46</v>
      </c>
      <c r="AI548" t="s">
        <v>45</v>
      </c>
      <c r="AJ548" t="s">
        <v>46</v>
      </c>
      <c r="AK548">
        <v>6774</v>
      </c>
      <c r="AL548" t="s">
        <v>44</v>
      </c>
      <c r="AM548">
        <v>1</v>
      </c>
      <c r="AN548">
        <v>1</v>
      </c>
      <c r="AO548">
        <v>2024</v>
      </c>
      <c r="AP548">
        <v>2</v>
      </c>
    </row>
    <row r="549" spans="1:42" x14ac:dyDescent="0.25">
      <c r="A549">
        <v>427</v>
      </c>
      <c r="B549">
        <v>20402</v>
      </c>
      <c r="C549">
        <v>2365</v>
      </c>
      <c r="D549">
        <v>4548</v>
      </c>
      <c r="E549">
        <v>8439</v>
      </c>
      <c r="F549">
        <v>36181</v>
      </c>
      <c r="G549">
        <v>4153</v>
      </c>
      <c r="H549">
        <v>9517</v>
      </c>
      <c r="I549">
        <v>2499</v>
      </c>
      <c r="J549">
        <v>16169</v>
      </c>
      <c r="K549">
        <v>52350</v>
      </c>
      <c r="L549">
        <v>34940</v>
      </c>
      <c r="M549">
        <v>1186</v>
      </c>
      <c r="N549">
        <v>3886</v>
      </c>
      <c r="O549">
        <v>3094</v>
      </c>
      <c r="P549">
        <v>43106</v>
      </c>
      <c r="Q549">
        <v>1469</v>
      </c>
      <c r="R549">
        <v>452</v>
      </c>
      <c r="S549">
        <v>280</v>
      </c>
      <c r="T549">
        <v>6552</v>
      </c>
      <c r="U549">
        <v>447</v>
      </c>
      <c r="V549">
        <v>0</v>
      </c>
      <c r="W549">
        <v>13535</v>
      </c>
      <c r="X549">
        <v>22735</v>
      </c>
      <c r="Y549">
        <v>2954</v>
      </c>
      <c r="Z549">
        <v>7820</v>
      </c>
      <c r="AA549">
        <v>7702</v>
      </c>
      <c r="AB549">
        <v>0</v>
      </c>
      <c r="AC549">
        <v>9482</v>
      </c>
      <c r="AD549">
        <v>0</v>
      </c>
      <c r="AE549">
        <v>146149</v>
      </c>
      <c r="AF549">
        <v>19930</v>
      </c>
      <c r="AG549" t="s">
        <v>107</v>
      </c>
      <c r="AH549" t="s">
        <v>108</v>
      </c>
      <c r="AI549" t="s">
        <v>107</v>
      </c>
      <c r="AJ549" t="s">
        <v>108</v>
      </c>
      <c r="AK549">
        <v>16031</v>
      </c>
      <c r="AL549" t="s">
        <v>50</v>
      </c>
      <c r="AM549">
        <v>3</v>
      </c>
      <c r="AN549">
        <v>3</v>
      </c>
      <c r="AO549">
        <v>2024</v>
      </c>
      <c r="AP549">
        <v>2</v>
      </c>
    </row>
    <row r="550" spans="1:42" x14ac:dyDescent="0.25">
      <c r="A550">
        <v>430.32</v>
      </c>
      <c r="B550">
        <v>2129.37</v>
      </c>
      <c r="C550">
        <v>828.92</v>
      </c>
      <c r="D550">
        <v>292.26</v>
      </c>
      <c r="E550">
        <v>746.24</v>
      </c>
      <c r="F550">
        <v>4427.1099999999997</v>
      </c>
      <c r="G550">
        <v>9.01</v>
      </c>
      <c r="H550">
        <v>853.07</v>
      </c>
      <c r="I550">
        <v>316.72000000000003</v>
      </c>
      <c r="J550">
        <v>1178.81</v>
      </c>
      <c r="K550">
        <v>5605.91</v>
      </c>
      <c r="L550">
        <v>1602.6</v>
      </c>
      <c r="M550">
        <v>3740.67</v>
      </c>
      <c r="N550">
        <v>0</v>
      </c>
      <c r="P550">
        <v>5343.26</v>
      </c>
      <c r="Q550">
        <v>6.72</v>
      </c>
      <c r="R550">
        <v>223.76</v>
      </c>
      <c r="S550">
        <v>193.42</v>
      </c>
      <c r="T550">
        <v>848.24</v>
      </c>
      <c r="W550">
        <v>0</v>
      </c>
      <c r="X550">
        <v>1272.1400000000001</v>
      </c>
      <c r="Y550">
        <v>580.13</v>
      </c>
      <c r="Z550">
        <v>0</v>
      </c>
      <c r="AA550">
        <v>2861.02</v>
      </c>
      <c r="AC550">
        <v>241.55</v>
      </c>
      <c r="AD550">
        <v>0</v>
      </c>
      <c r="AE550">
        <v>15904.01</v>
      </c>
      <c r="AF550">
        <v>20372</v>
      </c>
      <c r="AG550" t="s">
        <v>45</v>
      </c>
      <c r="AH550" t="s">
        <v>46</v>
      </c>
      <c r="AI550" t="s">
        <v>45</v>
      </c>
      <c r="AJ550" t="s">
        <v>46</v>
      </c>
      <c r="AK550">
        <v>6774</v>
      </c>
      <c r="AL550" t="s">
        <v>44</v>
      </c>
      <c r="AM550">
        <v>1</v>
      </c>
      <c r="AN550">
        <v>1</v>
      </c>
      <c r="AO550">
        <v>2024</v>
      </c>
      <c r="AP550">
        <v>4</v>
      </c>
    </row>
    <row r="551" spans="1:42" x14ac:dyDescent="0.25">
      <c r="A551">
        <v>431.85</v>
      </c>
      <c r="B551">
        <v>6673.03</v>
      </c>
      <c r="C551">
        <v>1732.53</v>
      </c>
      <c r="D551">
        <v>1732.72</v>
      </c>
      <c r="E551">
        <v>2544.9899999999998</v>
      </c>
      <c r="F551">
        <v>13115.12</v>
      </c>
      <c r="G551">
        <v>1743.47</v>
      </c>
      <c r="H551">
        <v>1134.93</v>
      </c>
      <c r="I551">
        <v>950.92</v>
      </c>
      <c r="J551">
        <v>3829.31</v>
      </c>
      <c r="K551">
        <v>16944.43</v>
      </c>
      <c r="L551">
        <v>12618.91</v>
      </c>
      <c r="M551">
        <v>1637.21</v>
      </c>
      <c r="N551">
        <v>0</v>
      </c>
      <c r="O551">
        <v>636.75</v>
      </c>
      <c r="P551">
        <v>14892.88</v>
      </c>
      <c r="Q551">
        <v>28.95</v>
      </c>
      <c r="R551">
        <v>698.99</v>
      </c>
      <c r="S551">
        <v>581.19000000000005</v>
      </c>
      <c r="T551">
        <v>5365.36</v>
      </c>
      <c r="U551">
        <v>0</v>
      </c>
      <c r="V551">
        <v>588.46</v>
      </c>
      <c r="W551">
        <v>4797.8100000000004</v>
      </c>
      <c r="X551">
        <v>12060.74</v>
      </c>
      <c r="Y551">
        <v>956.63</v>
      </c>
      <c r="Z551">
        <v>7782.68</v>
      </c>
      <c r="AA551">
        <v>1161.19</v>
      </c>
      <c r="AB551">
        <v>911.99</v>
      </c>
      <c r="AC551">
        <v>546.07000000000005</v>
      </c>
      <c r="AD551">
        <v>3034.94</v>
      </c>
      <c r="AE551">
        <v>58291.55</v>
      </c>
      <c r="AF551">
        <v>20151</v>
      </c>
      <c r="AG551" t="s">
        <v>97</v>
      </c>
      <c r="AH551" t="s">
        <v>98</v>
      </c>
      <c r="AI551" t="s">
        <v>97</v>
      </c>
      <c r="AJ551" t="s">
        <v>98</v>
      </c>
      <c r="AK551">
        <v>16052</v>
      </c>
      <c r="AL551" t="s">
        <v>50</v>
      </c>
      <c r="AM551">
        <v>2</v>
      </c>
      <c r="AN551">
        <v>2</v>
      </c>
      <c r="AO551">
        <v>2024</v>
      </c>
      <c r="AP551">
        <v>1</v>
      </c>
    </row>
    <row r="552" spans="1:42" x14ac:dyDescent="0.25">
      <c r="A552">
        <v>444.18</v>
      </c>
      <c r="B552">
        <v>1627.68</v>
      </c>
      <c r="C552">
        <v>119.13</v>
      </c>
      <c r="D552">
        <v>115.95</v>
      </c>
      <c r="E552">
        <v>124.81</v>
      </c>
      <c r="F552">
        <v>2431.7600000000002</v>
      </c>
      <c r="G552">
        <v>171.73</v>
      </c>
      <c r="H552">
        <v>70.58</v>
      </c>
      <c r="I552">
        <v>109.27</v>
      </c>
      <c r="J552">
        <v>351.57</v>
      </c>
      <c r="K552">
        <v>2783.33</v>
      </c>
      <c r="L552">
        <v>1057.4100000000001</v>
      </c>
      <c r="M552">
        <v>25.53</v>
      </c>
      <c r="N552">
        <v>0</v>
      </c>
      <c r="O552">
        <v>36.69</v>
      </c>
      <c r="P552">
        <v>1119.6400000000001</v>
      </c>
      <c r="Q552">
        <v>0.85</v>
      </c>
      <c r="R552">
        <v>3.48</v>
      </c>
      <c r="S552">
        <v>23.7</v>
      </c>
      <c r="T552">
        <v>190.68</v>
      </c>
      <c r="U552">
        <v>0</v>
      </c>
      <c r="V552">
        <v>0</v>
      </c>
      <c r="W552">
        <v>0.59</v>
      </c>
      <c r="X552">
        <v>219.3</v>
      </c>
      <c r="Y552">
        <v>30.8</v>
      </c>
      <c r="Z552">
        <v>649.47</v>
      </c>
      <c r="AA552">
        <v>101.4</v>
      </c>
      <c r="AB552">
        <v>0</v>
      </c>
      <c r="AC552">
        <v>235.32</v>
      </c>
      <c r="AD552">
        <v>0</v>
      </c>
      <c r="AE552">
        <v>5139.26</v>
      </c>
      <c r="AF552">
        <v>20166</v>
      </c>
      <c r="AG552" t="s">
        <v>89</v>
      </c>
      <c r="AH552" t="s">
        <v>90</v>
      </c>
      <c r="AI552" t="s">
        <v>89</v>
      </c>
      <c r="AJ552" t="s">
        <v>90</v>
      </c>
      <c r="AK552">
        <v>6565</v>
      </c>
      <c r="AL552" t="s">
        <v>44</v>
      </c>
      <c r="AM552">
        <v>1</v>
      </c>
      <c r="AN552">
        <v>1</v>
      </c>
      <c r="AO552">
        <v>2024</v>
      </c>
      <c r="AP552">
        <v>4</v>
      </c>
    </row>
    <row r="553" spans="1:42" x14ac:dyDescent="0.25">
      <c r="A553">
        <v>449.55</v>
      </c>
      <c r="B553">
        <v>35478.379999999997</v>
      </c>
      <c r="C553">
        <v>6890.31</v>
      </c>
      <c r="D553">
        <v>55065.35</v>
      </c>
      <c r="E553">
        <v>16990.560000000001</v>
      </c>
      <c r="F553">
        <v>114874.16</v>
      </c>
      <c r="G553">
        <v>7918.77</v>
      </c>
      <c r="H553">
        <v>17476.71</v>
      </c>
      <c r="I553">
        <v>8536.0400000000009</v>
      </c>
      <c r="J553">
        <v>33931.519999999997</v>
      </c>
      <c r="K553">
        <v>148805.68</v>
      </c>
      <c r="L553">
        <v>131.32</v>
      </c>
      <c r="M553">
        <v>4711.3500000000004</v>
      </c>
      <c r="N553">
        <v>31.4</v>
      </c>
      <c r="O553">
        <v>2141.81</v>
      </c>
      <c r="P553">
        <v>7015.87</v>
      </c>
      <c r="Q553">
        <v>0</v>
      </c>
      <c r="R553">
        <v>51.16</v>
      </c>
      <c r="S553">
        <v>279.25</v>
      </c>
      <c r="T553">
        <v>24154.080000000002</v>
      </c>
      <c r="U553">
        <v>0</v>
      </c>
      <c r="V553">
        <v>0</v>
      </c>
      <c r="W553">
        <v>8824.41</v>
      </c>
      <c r="X553">
        <v>33308.89</v>
      </c>
      <c r="Y553">
        <v>0</v>
      </c>
      <c r="Z553">
        <v>12282.23</v>
      </c>
      <c r="AA553">
        <v>3636.47</v>
      </c>
      <c r="AB553">
        <v>0</v>
      </c>
      <c r="AC553">
        <v>477.5</v>
      </c>
      <c r="AD553">
        <v>0</v>
      </c>
      <c r="AE553">
        <v>205526.63</v>
      </c>
      <c r="AF553">
        <v>20427</v>
      </c>
      <c r="AG553" t="s">
        <v>116</v>
      </c>
      <c r="AH553" t="s">
        <v>117</v>
      </c>
      <c r="AI553" t="s">
        <v>116</v>
      </c>
      <c r="AJ553" t="s">
        <v>117</v>
      </c>
      <c r="AK553">
        <v>6918</v>
      </c>
      <c r="AL553" t="s">
        <v>44</v>
      </c>
      <c r="AM553">
        <v>2</v>
      </c>
      <c r="AN553">
        <v>2</v>
      </c>
      <c r="AO553">
        <v>2024</v>
      </c>
      <c r="AP553">
        <v>2</v>
      </c>
    </row>
    <row r="554" spans="1:42" x14ac:dyDescent="0.25">
      <c r="A554">
        <v>452.69</v>
      </c>
      <c r="B554">
        <v>0</v>
      </c>
      <c r="C554">
        <v>51.45</v>
      </c>
      <c r="D554">
        <v>151.47</v>
      </c>
      <c r="E554">
        <v>3573.86</v>
      </c>
      <c r="F554">
        <v>4229.47</v>
      </c>
      <c r="G554">
        <v>226.87</v>
      </c>
      <c r="H554">
        <v>486.32</v>
      </c>
      <c r="I554">
        <v>204.39</v>
      </c>
      <c r="J554">
        <v>917.58</v>
      </c>
      <c r="K554">
        <v>5147.05</v>
      </c>
      <c r="L554">
        <v>32328.73</v>
      </c>
      <c r="M554">
        <v>95.46</v>
      </c>
      <c r="N554">
        <v>0</v>
      </c>
      <c r="O554">
        <v>810.65</v>
      </c>
      <c r="P554">
        <v>33234.83</v>
      </c>
      <c r="Q554">
        <v>2645.33</v>
      </c>
      <c r="R554">
        <v>1642.81</v>
      </c>
      <c r="S554">
        <v>0</v>
      </c>
      <c r="T554">
        <v>9476.5</v>
      </c>
      <c r="U554">
        <v>0</v>
      </c>
      <c r="V554">
        <v>189.45</v>
      </c>
      <c r="W554">
        <v>2625.52</v>
      </c>
      <c r="X554">
        <v>16579.61</v>
      </c>
      <c r="Y554">
        <v>1312.98</v>
      </c>
      <c r="Z554">
        <v>103236.56</v>
      </c>
      <c r="AA554">
        <v>382.4</v>
      </c>
      <c r="AB554">
        <v>0</v>
      </c>
      <c r="AC554">
        <v>337.62</v>
      </c>
      <c r="AD554">
        <v>4043.97</v>
      </c>
      <c r="AE554">
        <v>164275.03</v>
      </c>
      <c r="AF554">
        <v>20100</v>
      </c>
      <c r="AG554" t="s">
        <v>51</v>
      </c>
      <c r="AH554" t="s">
        <v>52</v>
      </c>
      <c r="AI554" t="s">
        <v>51</v>
      </c>
      <c r="AJ554" t="s">
        <v>52</v>
      </c>
      <c r="AK554">
        <v>16758</v>
      </c>
      <c r="AL554" t="s">
        <v>64</v>
      </c>
      <c r="AM554">
        <v>3</v>
      </c>
      <c r="AN554">
        <v>3</v>
      </c>
      <c r="AO554">
        <v>2024</v>
      </c>
      <c r="AP554">
        <v>1</v>
      </c>
    </row>
    <row r="555" spans="1:42" x14ac:dyDescent="0.25">
      <c r="A555">
        <v>459.19</v>
      </c>
      <c r="B555">
        <v>3196.73</v>
      </c>
      <c r="C555">
        <v>876.51</v>
      </c>
      <c r="D555">
        <v>658.68</v>
      </c>
      <c r="E555">
        <v>0</v>
      </c>
      <c r="F555">
        <v>5191.12</v>
      </c>
      <c r="G555">
        <v>44.87</v>
      </c>
      <c r="H555">
        <v>68.84</v>
      </c>
      <c r="I555">
        <v>265.14999999999998</v>
      </c>
      <c r="J555">
        <v>378.86</v>
      </c>
      <c r="K555">
        <v>5569.98</v>
      </c>
      <c r="L555">
        <v>12143.13</v>
      </c>
      <c r="M555">
        <v>269.08</v>
      </c>
      <c r="N555">
        <v>265.54000000000002</v>
      </c>
      <c r="O555">
        <v>31.13</v>
      </c>
      <c r="P555">
        <v>12708.87</v>
      </c>
      <c r="Q555">
        <v>34.69</v>
      </c>
      <c r="R555">
        <v>-201.9</v>
      </c>
      <c r="S555">
        <v>362.04</v>
      </c>
      <c r="T555">
        <v>0</v>
      </c>
      <c r="U555">
        <v>0</v>
      </c>
      <c r="V555">
        <v>0</v>
      </c>
      <c r="W555">
        <v>3435.8</v>
      </c>
      <c r="X555">
        <v>3630.62</v>
      </c>
      <c r="Y555">
        <v>134.96</v>
      </c>
      <c r="Z555">
        <v>6766.11</v>
      </c>
      <c r="AA555">
        <v>0</v>
      </c>
      <c r="AB555">
        <v>642.54</v>
      </c>
      <c r="AC555">
        <v>12645.36</v>
      </c>
      <c r="AD555">
        <v>0</v>
      </c>
      <c r="AE555">
        <v>42098.44</v>
      </c>
      <c r="AF555">
        <v>20310</v>
      </c>
      <c r="AG555" t="s">
        <v>71</v>
      </c>
      <c r="AH555" t="s">
        <v>72</v>
      </c>
      <c r="AI555" t="s">
        <v>71</v>
      </c>
      <c r="AJ555" t="s">
        <v>72</v>
      </c>
      <c r="AK555">
        <v>16076</v>
      </c>
      <c r="AL555" t="s">
        <v>47</v>
      </c>
      <c r="AM555">
        <v>1</v>
      </c>
      <c r="AN555">
        <v>1</v>
      </c>
      <c r="AO555">
        <v>2024</v>
      </c>
      <c r="AP555">
        <v>3</v>
      </c>
    </row>
    <row r="556" spans="1:42" x14ac:dyDescent="0.25">
      <c r="A556">
        <v>460.98</v>
      </c>
      <c r="B556">
        <v>6087.17</v>
      </c>
      <c r="C556">
        <v>1653.3</v>
      </c>
      <c r="D556">
        <v>20.399999999999999</v>
      </c>
      <c r="E556">
        <v>0</v>
      </c>
      <c r="F556">
        <v>8221.85</v>
      </c>
      <c r="G556">
        <v>868.43</v>
      </c>
      <c r="H556">
        <v>454.9</v>
      </c>
      <c r="I556">
        <v>597</v>
      </c>
      <c r="J556">
        <v>1920.33</v>
      </c>
      <c r="K556">
        <v>10142.18</v>
      </c>
      <c r="L556">
        <v>45.02</v>
      </c>
      <c r="M556">
        <v>312.27</v>
      </c>
      <c r="N556">
        <v>0</v>
      </c>
      <c r="O556">
        <v>0</v>
      </c>
      <c r="P556">
        <v>357.28</v>
      </c>
      <c r="Q556">
        <v>0</v>
      </c>
      <c r="R556">
        <v>0</v>
      </c>
      <c r="S556">
        <v>227.9</v>
      </c>
      <c r="T556">
        <v>0</v>
      </c>
      <c r="U556">
        <v>0</v>
      </c>
      <c r="V556">
        <v>0</v>
      </c>
      <c r="W556">
        <v>0</v>
      </c>
      <c r="X556">
        <v>227.9</v>
      </c>
      <c r="Y556">
        <v>0</v>
      </c>
      <c r="Z556">
        <v>769.92</v>
      </c>
      <c r="AA556">
        <v>468.03</v>
      </c>
      <c r="AB556">
        <v>0</v>
      </c>
      <c r="AC556">
        <v>6831.31</v>
      </c>
      <c r="AD556">
        <v>0</v>
      </c>
      <c r="AE556">
        <v>18796.62</v>
      </c>
      <c r="AF556">
        <v>20378</v>
      </c>
      <c r="AG556" t="s">
        <v>67</v>
      </c>
      <c r="AH556" t="s">
        <v>68</v>
      </c>
      <c r="AI556" t="s">
        <v>67</v>
      </c>
      <c r="AJ556" t="s">
        <v>68</v>
      </c>
      <c r="AK556">
        <v>11022</v>
      </c>
      <c r="AL556" t="s">
        <v>50</v>
      </c>
      <c r="AM556">
        <v>2</v>
      </c>
      <c r="AN556">
        <v>2</v>
      </c>
      <c r="AO556">
        <v>2024</v>
      </c>
      <c r="AP556">
        <v>1</v>
      </c>
    </row>
    <row r="557" spans="1:42" x14ac:dyDescent="0.25">
      <c r="A557">
        <v>467.15</v>
      </c>
      <c r="B557">
        <v>30954.04</v>
      </c>
      <c r="C557">
        <v>7367.07</v>
      </c>
      <c r="D557">
        <v>59004.73</v>
      </c>
      <c r="E557">
        <v>17560.849999999999</v>
      </c>
      <c r="F557">
        <v>115353.83</v>
      </c>
      <c r="G557">
        <v>9886.9599999999991</v>
      </c>
      <c r="H557">
        <v>17604.580000000002</v>
      </c>
      <c r="I557">
        <v>8283.44</v>
      </c>
      <c r="J557">
        <v>35774.980000000003</v>
      </c>
      <c r="K557">
        <v>151128.82</v>
      </c>
      <c r="L557">
        <v>117.82</v>
      </c>
      <c r="M557">
        <v>5677.98</v>
      </c>
      <c r="N557">
        <v>51.45</v>
      </c>
      <c r="O557">
        <v>2546.6999999999998</v>
      </c>
      <c r="P557">
        <v>8393.94</v>
      </c>
      <c r="Q557">
        <v>0</v>
      </c>
      <c r="R557">
        <v>47.97</v>
      </c>
      <c r="S557">
        <v>279.25</v>
      </c>
      <c r="T557">
        <v>23712.45</v>
      </c>
      <c r="U557">
        <v>0</v>
      </c>
      <c r="V557">
        <v>0</v>
      </c>
      <c r="W557">
        <v>7233.75</v>
      </c>
      <c r="X557">
        <v>31273.42</v>
      </c>
      <c r="Y557">
        <v>0</v>
      </c>
      <c r="Z557">
        <v>12990.25</v>
      </c>
      <c r="AA557">
        <v>3392.1</v>
      </c>
      <c r="AB557">
        <v>0</v>
      </c>
      <c r="AC557">
        <v>276.77</v>
      </c>
      <c r="AD557">
        <v>0</v>
      </c>
      <c r="AE557">
        <v>207455.3</v>
      </c>
      <c r="AF557">
        <v>20427</v>
      </c>
      <c r="AG557" t="s">
        <v>116</v>
      </c>
      <c r="AH557" t="s">
        <v>117</v>
      </c>
      <c r="AI557" t="s">
        <v>116</v>
      </c>
      <c r="AJ557" t="s">
        <v>117</v>
      </c>
      <c r="AK557">
        <v>6918</v>
      </c>
      <c r="AL557" t="s">
        <v>44</v>
      </c>
      <c r="AM557">
        <v>2</v>
      </c>
      <c r="AN557">
        <v>2</v>
      </c>
      <c r="AO557">
        <v>2024</v>
      </c>
      <c r="AP557">
        <v>3</v>
      </c>
    </row>
    <row r="558" spans="1:42" x14ac:dyDescent="0.25">
      <c r="A558">
        <v>471.02</v>
      </c>
      <c r="B558">
        <v>3887.95</v>
      </c>
      <c r="C558">
        <v>422.97</v>
      </c>
      <c r="D558">
        <v>1247.54</v>
      </c>
      <c r="E558">
        <v>0</v>
      </c>
      <c r="F558">
        <v>6029.46</v>
      </c>
      <c r="G558">
        <v>1780.92</v>
      </c>
      <c r="H558">
        <v>339.71</v>
      </c>
      <c r="I558">
        <v>454.47</v>
      </c>
      <c r="J558">
        <v>2575.09</v>
      </c>
      <c r="K558">
        <v>8604.5499999999993</v>
      </c>
      <c r="L558">
        <v>3179.01</v>
      </c>
      <c r="M558">
        <v>647.33000000000004</v>
      </c>
      <c r="N558">
        <v>92.71</v>
      </c>
      <c r="O558">
        <v>505.59</v>
      </c>
      <c r="P558">
        <v>4424.6400000000003</v>
      </c>
      <c r="Q558">
        <v>0</v>
      </c>
      <c r="R558">
        <v>43.64</v>
      </c>
      <c r="S558">
        <v>585.70000000000005</v>
      </c>
      <c r="T558">
        <v>1986.29</v>
      </c>
      <c r="U558">
        <v>115.9</v>
      </c>
      <c r="V558">
        <v>0</v>
      </c>
      <c r="W558">
        <v>4563.6899999999996</v>
      </c>
      <c r="X558">
        <v>7295.21</v>
      </c>
      <c r="Y558">
        <v>120.48</v>
      </c>
      <c r="Z558">
        <v>1556.17</v>
      </c>
      <c r="AA558">
        <v>3745.57</v>
      </c>
      <c r="AB558">
        <v>376.77</v>
      </c>
      <c r="AC558">
        <v>2818.26</v>
      </c>
      <c r="AD558">
        <v>0</v>
      </c>
      <c r="AE558">
        <v>28941.67</v>
      </c>
      <c r="AF558">
        <v>21875</v>
      </c>
      <c r="AG558" t="s">
        <v>113</v>
      </c>
      <c r="AH558" t="s">
        <v>114</v>
      </c>
      <c r="AI558" t="s">
        <v>113</v>
      </c>
      <c r="AJ558" t="s">
        <v>114</v>
      </c>
      <c r="AK558">
        <v>1225</v>
      </c>
      <c r="AL558" t="s">
        <v>115</v>
      </c>
      <c r="AM558">
        <v>1</v>
      </c>
      <c r="AN558">
        <v>1</v>
      </c>
      <c r="AO558">
        <v>2024</v>
      </c>
      <c r="AP558">
        <v>4</v>
      </c>
    </row>
    <row r="559" spans="1:42" x14ac:dyDescent="0.25">
      <c r="A559">
        <v>475.07</v>
      </c>
      <c r="B559">
        <v>7954.42</v>
      </c>
      <c r="C559">
        <v>1975.67</v>
      </c>
      <c r="D559">
        <v>2107.71</v>
      </c>
      <c r="E559">
        <v>2813.82</v>
      </c>
      <c r="F559">
        <v>15326.7</v>
      </c>
      <c r="G559">
        <v>1771.05</v>
      </c>
      <c r="H559">
        <v>1507.74</v>
      </c>
      <c r="I559">
        <v>934.96</v>
      </c>
      <c r="J559">
        <v>4213.75</v>
      </c>
      <c r="K559">
        <v>19540.45</v>
      </c>
      <c r="L559">
        <v>12824.24</v>
      </c>
      <c r="M559">
        <v>1581.31</v>
      </c>
      <c r="N559">
        <v>0</v>
      </c>
      <c r="O559">
        <v>461.53</v>
      </c>
      <c r="P559">
        <v>14867.07</v>
      </c>
      <c r="Q559">
        <v>77.8</v>
      </c>
      <c r="R559">
        <v>1024.82</v>
      </c>
      <c r="S559">
        <v>649.5</v>
      </c>
      <c r="T559">
        <v>7278.56</v>
      </c>
      <c r="U559">
        <v>0</v>
      </c>
      <c r="V559">
        <v>902.08</v>
      </c>
      <c r="W559">
        <v>5802</v>
      </c>
      <c r="X559">
        <v>15734.76</v>
      </c>
      <c r="Y559">
        <v>1382.02</v>
      </c>
      <c r="Z559">
        <v>9302.83</v>
      </c>
      <c r="AA559">
        <v>1347.19</v>
      </c>
      <c r="AB559">
        <v>1074.24</v>
      </c>
      <c r="AC559">
        <v>867.35</v>
      </c>
      <c r="AD559">
        <v>2902.12</v>
      </c>
      <c r="AE559">
        <v>67018.02</v>
      </c>
      <c r="AF559">
        <v>20151</v>
      </c>
      <c r="AG559" t="s">
        <v>97</v>
      </c>
      <c r="AH559" t="s">
        <v>98</v>
      </c>
      <c r="AI559" t="s">
        <v>97</v>
      </c>
      <c r="AJ559" t="s">
        <v>98</v>
      </c>
      <c r="AK559">
        <v>16052</v>
      </c>
      <c r="AL559" t="s">
        <v>50</v>
      </c>
      <c r="AM559">
        <v>2</v>
      </c>
      <c r="AN559">
        <v>2</v>
      </c>
      <c r="AO559">
        <v>2024</v>
      </c>
      <c r="AP559">
        <v>3</v>
      </c>
    </row>
    <row r="560" spans="1:42" x14ac:dyDescent="0.25">
      <c r="A560">
        <v>483.53</v>
      </c>
      <c r="B560">
        <v>3481.94</v>
      </c>
      <c r="C560">
        <v>1549.91</v>
      </c>
      <c r="D560">
        <v>973.04</v>
      </c>
      <c r="E560">
        <v>443.4</v>
      </c>
      <c r="F560">
        <v>6931.82</v>
      </c>
      <c r="G560">
        <v>888.46</v>
      </c>
      <c r="H560">
        <v>1093.3</v>
      </c>
      <c r="I560">
        <v>618.74</v>
      </c>
      <c r="J560">
        <v>2600.4899999999998</v>
      </c>
      <c r="K560">
        <v>9532.32</v>
      </c>
      <c r="L560">
        <v>11770.9</v>
      </c>
      <c r="M560">
        <v>395.81</v>
      </c>
      <c r="N560">
        <v>0</v>
      </c>
      <c r="O560">
        <v>138.77000000000001</v>
      </c>
      <c r="P560">
        <v>12305.48</v>
      </c>
      <c r="Q560">
        <v>110.66</v>
      </c>
      <c r="R560">
        <v>267.91000000000003</v>
      </c>
      <c r="S560">
        <v>310.49</v>
      </c>
      <c r="T560">
        <v>2817.64</v>
      </c>
      <c r="U560">
        <v>0</v>
      </c>
      <c r="V560">
        <v>137.26</v>
      </c>
      <c r="W560">
        <v>990.79</v>
      </c>
      <c r="X560">
        <v>4634.76</v>
      </c>
      <c r="Y560">
        <v>272.93</v>
      </c>
      <c r="Z560">
        <v>1852.1</v>
      </c>
      <c r="AA560">
        <v>4069.69</v>
      </c>
      <c r="AB560">
        <v>7.82</v>
      </c>
      <c r="AC560">
        <v>6425.58</v>
      </c>
      <c r="AD560">
        <v>569.96</v>
      </c>
      <c r="AE560">
        <v>39670.629999999997</v>
      </c>
      <c r="AF560">
        <v>20108</v>
      </c>
      <c r="AG560" t="s">
        <v>118</v>
      </c>
      <c r="AH560" t="s">
        <v>119</v>
      </c>
      <c r="AI560" t="s">
        <v>118</v>
      </c>
      <c r="AJ560" t="s">
        <v>119</v>
      </c>
      <c r="AK560">
        <v>6721</v>
      </c>
      <c r="AL560" t="s">
        <v>44</v>
      </c>
      <c r="AM560">
        <v>2</v>
      </c>
      <c r="AN560">
        <v>2</v>
      </c>
      <c r="AO560">
        <v>2024</v>
      </c>
      <c r="AP560">
        <v>1</v>
      </c>
    </row>
    <row r="561" spans="1:42" x14ac:dyDescent="0.25">
      <c r="A561">
        <v>485.16</v>
      </c>
      <c r="B561">
        <v>4192.78</v>
      </c>
      <c r="C561">
        <v>872.98</v>
      </c>
      <c r="D561">
        <v>254.7</v>
      </c>
      <c r="E561">
        <v>793.9</v>
      </c>
      <c r="F561">
        <v>6599.52</v>
      </c>
      <c r="G561">
        <v>789.49</v>
      </c>
      <c r="H561">
        <v>1421.48</v>
      </c>
      <c r="I561">
        <v>457.87</v>
      </c>
      <c r="J561">
        <v>2668.83</v>
      </c>
      <c r="K561">
        <v>9268.35</v>
      </c>
      <c r="L561">
        <v>8766.94</v>
      </c>
      <c r="M561">
        <v>111.75</v>
      </c>
      <c r="N561">
        <v>0.46</v>
      </c>
      <c r="O561">
        <v>208.37</v>
      </c>
      <c r="P561">
        <v>9087.52</v>
      </c>
      <c r="Q561">
        <v>73.33</v>
      </c>
      <c r="R561">
        <v>658.45</v>
      </c>
      <c r="S561">
        <v>41.26</v>
      </c>
      <c r="T561">
        <v>1117.07</v>
      </c>
      <c r="U561">
        <v>48.36</v>
      </c>
      <c r="V561">
        <v>0</v>
      </c>
      <c r="W561">
        <v>6558.04</v>
      </c>
      <c r="X561">
        <v>8496.5</v>
      </c>
      <c r="Y561">
        <v>1301.28</v>
      </c>
      <c r="Z561">
        <v>9360.2999999999993</v>
      </c>
      <c r="AA561">
        <v>352.34</v>
      </c>
      <c r="AB561">
        <v>1.56</v>
      </c>
      <c r="AC561">
        <v>-1983.4</v>
      </c>
      <c r="AD561">
        <v>0</v>
      </c>
      <c r="AE561">
        <v>35884.46</v>
      </c>
      <c r="AF561">
        <v>20436</v>
      </c>
      <c r="AG561" t="s">
        <v>122</v>
      </c>
      <c r="AH561" t="s">
        <v>123</v>
      </c>
      <c r="AI561" t="s">
        <v>122</v>
      </c>
      <c r="AJ561" t="s">
        <v>123</v>
      </c>
      <c r="AK561">
        <v>16461</v>
      </c>
      <c r="AL561" t="s">
        <v>50</v>
      </c>
      <c r="AM561">
        <v>3</v>
      </c>
      <c r="AN561">
        <v>3</v>
      </c>
      <c r="AO561">
        <v>2024</v>
      </c>
      <c r="AP561">
        <v>4</v>
      </c>
    </row>
    <row r="562" spans="1:42" x14ac:dyDescent="0.25">
      <c r="A562">
        <v>485.28</v>
      </c>
      <c r="B562">
        <v>2626.02</v>
      </c>
      <c r="C562">
        <v>330.27</v>
      </c>
      <c r="D562">
        <v>830.23</v>
      </c>
      <c r="E562">
        <v>339.17</v>
      </c>
      <c r="F562">
        <v>4610.97</v>
      </c>
      <c r="G562">
        <v>407.71</v>
      </c>
      <c r="H562">
        <v>1081.3900000000001</v>
      </c>
      <c r="I562">
        <v>255.07</v>
      </c>
      <c r="J562">
        <v>1744.17</v>
      </c>
      <c r="K562">
        <v>6355.15</v>
      </c>
      <c r="L562">
        <v>2865.53</v>
      </c>
      <c r="M562">
        <v>340.46</v>
      </c>
      <c r="N562">
        <v>291.06</v>
      </c>
      <c r="O562">
        <v>53.59</v>
      </c>
      <c r="P562">
        <v>3550.63</v>
      </c>
      <c r="Q562">
        <v>72.95</v>
      </c>
      <c r="R562">
        <v>131.55000000000001</v>
      </c>
      <c r="S562">
        <v>111.11</v>
      </c>
      <c r="T562">
        <v>548.86</v>
      </c>
      <c r="U562">
        <v>66.73</v>
      </c>
      <c r="V562">
        <v>0</v>
      </c>
      <c r="W562">
        <v>1488.47</v>
      </c>
      <c r="X562">
        <v>2419.67</v>
      </c>
      <c r="Y562">
        <v>114.99</v>
      </c>
      <c r="Z562">
        <v>331.86</v>
      </c>
      <c r="AA562">
        <v>2258.64</v>
      </c>
      <c r="AB562">
        <v>1018.18</v>
      </c>
      <c r="AC562">
        <v>-81.78</v>
      </c>
      <c r="AD562">
        <v>3.06</v>
      </c>
      <c r="AE562">
        <v>15970.4</v>
      </c>
      <c r="AF562">
        <v>20422</v>
      </c>
      <c r="AG562" t="s">
        <v>93</v>
      </c>
      <c r="AH562" t="s">
        <v>94</v>
      </c>
      <c r="AI562" t="s">
        <v>93</v>
      </c>
      <c r="AJ562" t="s">
        <v>94</v>
      </c>
      <c r="AK562">
        <v>16795</v>
      </c>
      <c r="AL562" t="s">
        <v>50</v>
      </c>
      <c r="AM562">
        <v>3</v>
      </c>
      <c r="AN562">
        <v>3</v>
      </c>
      <c r="AO562">
        <v>2024</v>
      </c>
      <c r="AP562">
        <v>4</v>
      </c>
    </row>
    <row r="563" spans="1:42" x14ac:dyDescent="0.25">
      <c r="A563">
        <v>513.08000000000004</v>
      </c>
      <c r="B563">
        <v>998.5</v>
      </c>
      <c r="C563">
        <v>1112.0999999999999</v>
      </c>
      <c r="D563">
        <v>868.98</v>
      </c>
      <c r="E563">
        <v>0</v>
      </c>
      <c r="F563">
        <v>3492.65</v>
      </c>
      <c r="G563">
        <v>77.11</v>
      </c>
      <c r="H563">
        <v>82.91</v>
      </c>
      <c r="I563">
        <v>258.94</v>
      </c>
      <c r="J563">
        <v>418.96</v>
      </c>
      <c r="K563">
        <v>3911.61</v>
      </c>
      <c r="L563">
        <v>3706.3</v>
      </c>
      <c r="M563">
        <v>407.57</v>
      </c>
      <c r="N563">
        <v>129.47999999999999</v>
      </c>
      <c r="O563">
        <v>31.74</v>
      </c>
      <c r="P563">
        <v>4275.09</v>
      </c>
      <c r="Q563">
        <v>21.51</v>
      </c>
      <c r="R563">
        <v>178.44</v>
      </c>
      <c r="S563">
        <v>511.61</v>
      </c>
      <c r="T563">
        <v>0</v>
      </c>
      <c r="U563">
        <v>0</v>
      </c>
      <c r="V563">
        <v>0</v>
      </c>
      <c r="W563">
        <v>2800.01</v>
      </c>
      <c r="X563">
        <v>3511.57</v>
      </c>
      <c r="Y563">
        <v>169.52</v>
      </c>
      <c r="Z563">
        <v>2921.94</v>
      </c>
      <c r="AA563">
        <v>0</v>
      </c>
      <c r="AB563">
        <v>538.57000000000005</v>
      </c>
      <c r="AC563">
        <v>4796.0600000000004</v>
      </c>
      <c r="AD563">
        <v>0</v>
      </c>
      <c r="AE563">
        <v>20124.36</v>
      </c>
      <c r="AF563">
        <v>20310</v>
      </c>
      <c r="AG563" t="s">
        <v>71</v>
      </c>
      <c r="AH563" t="s">
        <v>72</v>
      </c>
      <c r="AI563" t="s">
        <v>71</v>
      </c>
      <c r="AJ563" t="s">
        <v>72</v>
      </c>
      <c r="AK563">
        <v>16076</v>
      </c>
      <c r="AL563" t="s">
        <v>47</v>
      </c>
      <c r="AM563">
        <v>1</v>
      </c>
      <c r="AN563">
        <v>1</v>
      </c>
      <c r="AO563">
        <v>2024</v>
      </c>
      <c r="AP563">
        <v>4</v>
      </c>
    </row>
    <row r="564" spans="1:42" x14ac:dyDescent="0.25">
      <c r="A564">
        <v>540.5</v>
      </c>
      <c r="B564">
        <v>3009.87</v>
      </c>
      <c r="C564">
        <v>336.48</v>
      </c>
      <c r="D564">
        <v>964.01</v>
      </c>
      <c r="E564">
        <v>0</v>
      </c>
      <c r="F564">
        <v>4850.8599999999997</v>
      </c>
      <c r="G564">
        <v>1272.04</v>
      </c>
      <c r="H564">
        <v>307.08999999999997</v>
      </c>
      <c r="I564">
        <v>334.42</v>
      </c>
      <c r="J564">
        <v>1913.55</v>
      </c>
      <c r="K564">
        <v>6764.41</v>
      </c>
      <c r="L564">
        <v>2086.0100000000002</v>
      </c>
      <c r="M564">
        <v>495.56</v>
      </c>
      <c r="N564">
        <v>33.71</v>
      </c>
      <c r="O564">
        <v>217.96</v>
      </c>
      <c r="P564">
        <v>2833.23</v>
      </c>
      <c r="Q564">
        <v>0</v>
      </c>
      <c r="R564">
        <v>46.75</v>
      </c>
      <c r="S564">
        <v>470.15</v>
      </c>
      <c r="T564">
        <v>1659.35</v>
      </c>
      <c r="U564">
        <v>6.85</v>
      </c>
      <c r="V564">
        <v>0</v>
      </c>
      <c r="W564">
        <v>3606.62</v>
      </c>
      <c r="X564">
        <v>5789.71</v>
      </c>
      <c r="Y564">
        <v>85.04</v>
      </c>
      <c r="Z564">
        <v>1355.12</v>
      </c>
      <c r="AA564">
        <v>492.4</v>
      </c>
      <c r="AB564">
        <v>3.1</v>
      </c>
      <c r="AC564">
        <v>-1518.62</v>
      </c>
      <c r="AD564">
        <v>0</v>
      </c>
      <c r="AE564">
        <v>15804.38</v>
      </c>
      <c r="AF564">
        <v>21875</v>
      </c>
      <c r="AG564" t="s">
        <v>113</v>
      </c>
      <c r="AH564" t="s">
        <v>114</v>
      </c>
      <c r="AI564" t="s">
        <v>113</v>
      </c>
      <c r="AJ564" t="s">
        <v>114</v>
      </c>
      <c r="AK564">
        <v>1225</v>
      </c>
      <c r="AL564" t="s">
        <v>115</v>
      </c>
      <c r="AM564">
        <v>1</v>
      </c>
      <c r="AN564">
        <v>1</v>
      </c>
      <c r="AO564">
        <v>2024</v>
      </c>
      <c r="AP564">
        <v>3</v>
      </c>
    </row>
    <row r="565" spans="1:42" x14ac:dyDescent="0.25">
      <c r="A565">
        <v>555.78</v>
      </c>
      <c r="B565">
        <v>8060.88</v>
      </c>
      <c r="C565">
        <v>1971.03</v>
      </c>
      <c r="D565">
        <v>2142.16</v>
      </c>
      <c r="E565">
        <v>2869.72</v>
      </c>
      <c r="F565">
        <v>15599.57</v>
      </c>
      <c r="G565">
        <v>1531.99</v>
      </c>
      <c r="H565">
        <v>1381.76</v>
      </c>
      <c r="I565">
        <v>1049.08</v>
      </c>
      <c r="J565">
        <v>3962.83</v>
      </c>
      <c r="K565">
        <v>19562.39</v>
      </c>
      <c r="L565">
        <v>14573.39</v>
      </c>
      <c r="M565">
        <v>1531.89</v>
      </c>
      <c r="N565">
        <v>0</v>
      </c>
      <c r="O565">
        <v>568.38</v>
      </c>
      <c r="P565">
        <v>16673.66</v>
      </c>
      <c r="Q565">
        <v>64.67</v>
      </c>
      <c r="R565">
        <v>971.09</v>
      </c>
      <c r="S565">
        <v>694.74</v>
      </c>
      <c r="T565">
        <v>7621.38</v>
      </c>
      <c r="U565">
        <v>0</v>
      </c>
      <c r="V565">
        <v>1007.89</v>
      </c>
      <c r="W565">
        <v>5132.8500000000004</v>
      </c>
      <c r="X565">
        <v>15492.63</v>
      </c>
      <c r="Y565">
        <v>971.55</v>
      </c>
      <c r="Z565">
        <v>8552.61</v>
      </c>
      <c r="AA565">
        <v>1392.29</v>
      </c>
      <c r="AB565">
        <v>1104.8800000000001</v>
      </c>
      <c r="AC565">
        <v>739.88</v>
      </c>
      <c r="AD565">
        <v>3367.56</v>
      </c>
      <c r="AE565">
        <v>67857.45</v>
      </c>
      <c r="AF565">
        <v>20151</v>
      </c>
      <c r="AG565" t="s">
        <v>97</v>
      </c>
      <c r="AH565" t="s">
        <v>98</v>
      </c>
      <c r="AI565" t="s">
        <v>97</v>
      </c>
      <c r="AJ565" t="s">
        <v>98</v>
      </c>
      <c r="AK565">
        <v>16052</v>
      </c>
      <c r="AL565" t="s">
        <v>50</v>
      </c>
      <c r="AM565">
        <v>2</v>
      </c>
      <c r="AN565">
        <v>2</v>
      </c>
      <c r="AO565">
        <v>2024</v>
      </c>
      <c r="AP565">
        <v>2</v>
      </c>
    </row>
    <row r="566" spans="1:42" x14ac:dyDescent="0.25">
      <c r="A566">
        <v>566.05999999999995</v>
      </c>
      <c r="B566">
        <v>0</v>
      </c>
      <c r="C566">
        <v>40.39</v>
      </c>
      <c r="D566">
        <v>72.52</v>
      </c>
      <c r="E566">
        <v>3667.17</v>
      </c>
      <c r="F566">
        <v>4346.1400000000003</v>
      </c>
      <c r="G566">
        <v>411.24</v>
      </c>
      <c r="H566">
        <v>560.54999999999995</v>
      </c>
      <c r="I566">
        <v>205.38</v>
      </c>
      <c r="J566">
        <v>1177.1600000000001</v>
      </c>
      <c r="K566">
        <v>5523.31</v>
      </c>
      <c r="L566">
        <v>31989.1</v>
      </c>
      <c r="M566">
        <v>67.900000000000006</v>
      </c>
      <c r="N566">
        <v>0</v>
      </c>
      <c r="O566">
        <v>1319.15</v>
      </c>
      <c r="P566">
        <v>33376.15</v>
      </c>
      <c r="Q566">
        <v>2906.17</v>
      </c>
      <c r="R566">
        <v>1109.75</v>
      </c>
      <c r="S566">
        <v>0</v>
      </c>
      <c r="T566">
        <v>9856.19</v>
      </c>
      <c r="U566">
        <v>0</v>
      </c>
      <c r="V566">
        <v>240.55</v>
      </c>
      <c r="W566">
        <v>2408.84</v>
      </c>
      <c r="X566">
        <v>16521.5</v>
      </c>
      <c r="Y566">
        <v>1976.56</v>
      </c>
      <c r="Z566">
        <v>147756.64000000001</v>
      </c>
      <c r="AA566">
        <v>344.71</v>
      </c>
      <c r="AB566">
        <v>0</v>
      </c>
      <c r="AC566">
        <v>351.51</v>
      </c>
      <c r="AD566">
        <v>4950.6099999999997</v>
      </c>
      <c r="AE566">
        <v>210800.98</v>
      </c>
      <c r="AF566">
        <v>20100</v>
      </c>
      <c r="AG566" t="s">
        <v>51</v>
      </c>
      <c r="AH566" t="s">
        <v>52</v>
      </c>
      <c r="AI566" t="s">
        <v>51</v>
      </c>
      <c r="AJ566" t="s">
        <v>52</v>
      </c>
      <c r="AK566">
        <v>16758</v>
      </c>
      <c r="AL566" t="s">
        <v>64</v>
      </c>
      <c r="AM566">
        <v>3</v>
      </c>
      <c r="AN566">
        <v>3</v>
      </c>
      <c r="AO566">
        <v>2024</v>
      </c>
      <c r="AP566">
        <v>4</v>
      </c>
    </row>
    <row r="567" spans="1:42" x14ac:dyDescent="0.25">
      <c r="A567">
        <v>579.57000000000005</v>
      </c>
      <c r="B567">
        <v>5166.68</v>
      </c>
      <c r="C567">
        <v>1729.18</v>
      </c>
      <c r="D567">
        <v>17.71</v>
      </c>
      <c r="E567">
        <v>0</v>
      </c>
      <c r="F567">
        <v>7493.13</v>
      </c>
      <c r="G567">
        <v>618.4</v>
      </c>
      <c r="H567">
        <v>310.10000000000002</v>
      </c>
      <c r="I567">
        <v>484.8</v>
      </c>
      <c r="J567">
        <v>1413.29</v>
      </c>
      <c r="K567">
        <v>8906.42</v>
      </c>
      <c r="L567">
        <v>12.74</v>
      </c>
      <c r="M567">
        <v>364.2</v>
      </c>
      <c r="N567">
        <v>0</v>
      </c>
      <c r="O567">
        <v>0</v>
      </c>
      <c r="P567">
        <v>376.94</v>
      </c>
      <c r="Q567">
        <v>0</v>
      </c>
      <c r="R567">
        <v>0</v>
      </c>
      <c r="S567">
        <v>146.56</v>
      </c>
      <c r="T567">
        <v>0</v>
      </c>
      <c r="U567">
        <v>0</v>
      </c>
      <c r="V567">
        <v>0</v>
      </c>
      <c r="W567">
        <v>0</v>
      </c>
      <c r="X567">
        <v>146.56</v>
      </c>
      <c r="Y567">
        <v>-7.65</v>
      </c>
      <c r="Z567">
        <v>647.03</v>
      </c>
      <c r="AA567">
        <v>143.80000000000001</v>
      </c>
      <c r="AB567">
        <v>0</v>
      </c>
      <c r="AC567">
        <v>8260.33</v>
      </c>
      <c r="AD567">
        <v>0</v>
      </c>
      <c r="AE567">
        <v>18473.439999999999</v>
      </c>
      <c r="AF567">
        <v>20378</v>
      </c>
      <c r="AG567" t="s">
        <v>67</v>
      </c>
      <c r="AH567" t="s">
        <v>68</v>
      </c>
      <c r="AI567" t="s">
        <v>67</v>
      </c>
      <c r="AJ567" t="s">
        <v>68</v>
      </c>
      <c r="AK567">
        <v>11022</v>
      </c>
      <c r="AL567" t="s">
        <v>50</v>
      </c>
      <c r="AM567">
        <v>2</v>
      </c>
      <c r="AN567">
        <v>2</v>
      </c>
      <c r="AO567">
        <v>2024</v>
      </c>
      <c r="AP567">
        <v>3</v>
      </c>
    </row>
    <row r="568" spans="1:42" x14ac:dyDescent="0.25">
      <c r="A568">
        <v>582.94000000000005</v>
      </c>
      <c r="B568">
        <v>1818.26</v>
      </c>
      <c r="C568">
        <v>299.63</v>
      </c>
      <c r="D568">
        <v>325.88</v>
      </c>
      <c r="E568">
        <v>0</v>
      </c>
      <c r="F568">
        <v>3026.71</v>
      </c>
      <c r="G568">
        <v>1245.8399999999999</v>
      </c>
      <c r="H568">
        <v>150.13</v>
      </c>
      <c r="I568">
        <v>270.08</v>
      </c>
      <c r="J568">
        <v>1666.05</v>
      </c>
      <c r="K568">
        <v>4692.76</v>
      </c>
      <c r="L568">
        <v>591.87</v>
      </c>
      <c r="M568">
        <v>37.090000000000003</v>
      </c>
      <c r="N568">
        <v>15.22</v>
      </c>
      <c r="O568">
        <v>90.35</v>
      </c>
      <c r="P568">
        <v>734.52</v>
      </c>
      <c r="Q568">
        <v>0</v>
      </c>
      <c r="R568">
        <v>4.37</v>
      </c>
      <c r="S568">
        <v>435.35</v>
      </c>
      <c r="T568">
        <v>1206.97</v>
      </c>
      <c r="U568">
        <v>23.32</v>
      </c>
      <c r="V568">
        <v>0</v>
      </c>
      <c r="W568">
        <v>1264.0999999999999</v>
      </c>
      <c r="X568">
        <v>2934.1</v>
      </c>
      <c r="Y568">
        <v>24.05</v>
      </c>
      <c r="Z568">
        <v>1338.98</v>
      </c>
      <c r="AA568">
        <v>427.89</v>
      </c>
      <c r="AB568">
        <v>0.6</v>
      </c>
      <c r="AC568">
        <v>134.80000000000001</v>
      </c>
      <c r="AD568">
        <v>0</v>
      </c>
      <c r="AE568">
        <v>10287.700000000001</v>
      </c>
      <c r="AF568">
        <v>21875</v>
      </c>
      <c r="AG568" t="s">
        <v>113</v>
      </c>
      <c r="AH568" t="s">
        <v>114</v>
      </c>
      <c r="AI568" t="s">
        <v>113</v>
      </c>
      <c r="AJ568" t="s">
        <v>114</v>
      </c>
      <c r="AK568">
        <v>1225</v>
      </c>
      <c r="AL568" t="s">
        <v>115</v>
      </c>
      <c r="AM568">
        <v>1</v>
      </c>
      <c r="AN568">
        <v>1</v>
      </c>
      <c r="AO568">
        <v>2024</v>
      </c>
      <c r="AP568">
        <v>1</v>
      </c>
    </row>
    <row r="569" spans="1:42" x14ac:dyDescent="0.25">
      <c r="A569">
        <v>585.65</v>
      </c>
      <c r="B569">
        <v>82783.05</v>
      </c>
      <c r="C569">
        <v>13689.77</v>
      </c>
      <c r="D569">
        <v>2692.7</v>
      </c>
      <c r="E569">
        <v>20810.12</v>
      </c>
      <c r="F569">
        <v>120561.29</v>
      </c>
      <c r="G569">
        <v>18024.48</v>
      </c>
      <c r="H569">
        <v>11525.75</v>
      </c>
      <c r="I569">
        <v>7777.65</v>
      </c>
      <c r="J569">
        <v>37327.879999999997</v>
      </c>
      <c r="K569">
        <v>157889.17000000001</v>
      </c>
      <c r="L569">
        <v>0</v>
      </c>
      <c r="M569">
        <v>5589.22</v>
      </c>
      <c r="N569">
        <v>0</v>
      </c>
      <c r="O569">
        <v>3961.49</v>
      </c>
      <c r="P569">
        <v>9550.7099999999991</v>
      </c>
      <c r="Q569">
        <v>0</v>
      </c>
      <c r="R569">
        <v>86.03</v>
      </c>
      <c r="S569">
        <v>924.22</v>
      </c>
      <c r="T569">
        <v>80885.27</v>
      </c>
      <c r="U569">
        <v>0</v>
      </c>
      <c r="V569">
        <v>0</v>
      </c>
      <c r="W569">
        <v>5662.7</v>
      </c>
      <c r="X569">
        <v>87558.22</v>
      </c>
      <c r="Y569">
        <v>0</v>
      </c>
      <c r="Z569">
        <v>35171.57</v>
      </c>
      <c r="AA569">
        <v>7400.97</v>
      </c>
      <c r="AB569">
        <v>0</v>
      </c>
      <c r="AC569">
        <v>2845.27</v>
      </c>
      <c r="AD569">
        <v>0</v>
      </c>
      <c r="AE569">
        <v>300415.90999999997</v>
      </c>
      <c r="AF569">
        <v>20397</v>
      </c>
      <c r="AG569" t="s">
        <v>65</v>
      </c>
      <c r="AH569" t="s">
        <v>66</v>
      </c>
      <c r="AI569" t="s">
        <v>65</v>
      </c>
      <c r="AJ569" t="s">
        <v>66</v>
      </c>
      <c r="AK569">
        <v>7028</v>
      </c>
      <c r="AL569" t="s">
        <v>44</v>
      </c>
      <c r="AM569">
        <v>2</v>
      </c>
      <c r="AN569">
        <v>2</v>
      </c>
      <c r="AO569">
        <v>2024</v>
      </c>
      <c r="AP569">
        <v>3</v>
      </c>
    </row>
    <row r="570" spans="1:42" x14ac:dyDescent="0.25">
      <c r="A570">
        <v>594.04999999999995</v>
      </c>
      <c r="B570">
        <v>8401.3700000000008</v>
      </c>
      <c r="C570">
        <v>2134.8200000000002</v>
      </c>
      <c r="D570">
        <v>2616.83</v>
      </c>
      <c r="E570">
        <v>2849.48</v>
      </c>
      <c r="F570">
        <v>16596.55</v>
      </c>
      <c r="G570">
        <v>1659.54</v>
      </c>
      <c r="H570">
        <v>1469.11</v>
      </c>
      <c r="I570">
        <v>833.6</v>
      </c>
      <c r="J570">
        <v>3962.25</v>
      </c>
      <c r="K570">
        <v>20558.810000000001</v>
      </c>
      <c r="L570">
        <v>12960.41</v>
      </c>
      <c r="M570">
        <v>1987.55</v>
      </c>
      <c r="N570">
        <v>0</v>
      </c>
      <c r="O570">
        <v>737.97</v>
      </c>
      <c r="P570">
        <v>15685.93</v>
      </c>
      <c r="Q570">
        <v>117.85</v>
      </c>
      <c r="R570">
        <v>1015.42</v>
      </c>
      <c r="S570">
        <v>582.54</v>
      </c>
      <c r="T570">
        <v>8379.5300000000007</v>
      </c>
      <c r="U570">
        <v>0</v>
      </c>
      <c r="V570">
        <v>1132.98</v>
      </c>
      <c r="W570">
        <v>7953.36</v>
      </c>
      <c r="X570">
        <v>19181.669999999998</v>
      </c>
      <c r="Y570">
        <v>1419.6</v>
      </c>
      <c r="Z570">
        <v>8365.02</v>
      </c>
      <c r="AA570">
        <v>1742.43</v>
      </c>
      <c r="AB570">
        <v>1077.5999999999999</v>
      </c>
      <c r="AC570">
        <v>1265.1500000000001</v>
      </c>
      <c r="AD570">
        <v>3098.63</v>
      </c>
      <c r="AE570">
        <v>72394.84</v>
      </c>
      <c r="AF570">
        <v>20151</v>
      </c>
      <c r="AG570" t="s">
        <v>97</v>
      </c>
      <c r="AH570" t="s">
        <v>98</v>
      </c>
      <c r="AI570" t="s">
        <v>97</v>
      </c>
      <c r="AJ570" t="s">
        <v>98</v>
      </c>
      <c r="AK570">
        <v>16052</v>
      </c>
      <c r="AL570" t="s">
        <v>50</v>
      </c>
      <c r="AM570">
        <v>2</v>
      </c>
      <c r="AN570">
        <v>2</v>
      </c>
      <c r="AO570">
        <v>2024</v>
      </c>
      <c r="AP570">
        <v>4</v>
      </c>
    </row>
    <row r="571" spans="1:42" x14ac:dyDescent="0.25">
      <c r="A571">
        <v>599.63</v>
      </c>
      <c r="B571">
        <v>2197.29</v>
      </c>
      <c r="C571">
        <v>160.82</v>
      </c>
      <c r="D571">
        <v>156.53</v>
      </c>
      <c r="E571">
        <v>168.49</v>
      </c>
      <c r="F571">
        <v>3282.76</v>
      </c>
      <c r="G571">
        <v>231.82</v>
      </c>
      <c r="H571">
        <v>95.28</v>
      </c>
      <c r="I571">
        <v>147.5</v>
      </c>
      <c r="J571">
        <v>474.61</v>
      </c>
      <c r="K571">
        <v>3757.36</v>
      </c>
      <c r="L571">
        <v>907.54</v>
      </c>
      <c r="M571">
        <v>34.47</v>
      </c>
      <c r="N571">
        <v>0</v>
      </c>
      <c r="O571">
        <v>49.53</v>
      </c>
      <c r="P571">
        <v>991.54</v>
      </c>
      <c r="Q571">
        <v>1.1499999999999999</v>
      </c>
      <c r="R571">
        <v>4.6900000000000004</v>
      </c>
      <c r="S571">
        <v>32</v>
      </c>
      <c r="T571">
        <v>257.39999999999998</v>
      </c>
      <c r="U571">
        <v>0</v>
      </c>
      <c r="V571">
        <v>0</v>
      </c>
      <c r="W571">
        <v>0.8</v>
      </c>
      <c r="X571">
        <v>296.04000000000002</v>
      </c>
      <c r="Y571">
        <v>41.58</v>
      </c>
      <c r="Z571">
        <v>876.75</v>
      </c>
      <c r="AA571">
        <v>136.88</v>
      </c>
      <c r="AB571">
        <v>0</v>
      </c>
      <c r="AC571">
        <v>837.59</v>
      </c>
      <c r="AD571">
        <v>0</v>
      </c>
      <c r="AE571">
        <v>6937.75</v>
      </c>
      <c r="AF571">
        <v>20166</v>
      </c>
      <c r="AG571" t="s">
        <v>89</v>
      </c>
      <c r="AH571" t="s">
        <v>90</v>
      </c>
      <c r="AI571" t="s">
        <v>89</v>
      </c>
      <c r="AJ571" t="s">
        <v>90</v>
      </c>
      <c r="AK571">
        <v>16565</v>
      </c>
      <c r="AL571" t="s">
        <v>47</v>
      </c>
      <c r="AM571">
        <v>1</v>
      </c>
      <c r="AN571">
        <v>1</v>
      </c>
      <c r="AO571">
        <v>2024</v>
      </c>
      <c r="AP571">
        <v>4</v>
      </c>
    </row>
    <row r="572" spans="1:42" x14ac:dyDescent="0.25">
      <c r="A572">
        <v>603.03</v>
      </c>
      <c r="B572">
        <v>0</v>
      </c>
      <c r="C572">
        <v>48.16</v>
      </c>
      <c r="D572">
        <v>150.27000000000001</v>
      </c>
      <c r="E572">
        <v>3491.05</v>
      </c>
      <c r="F572">
        <v>4292.5</v>
      </c>
      <c r="G572">
        <v>414.16</v>
      </c>
      <c r="H572">
        <v>311.5</v>
      </c>
      <c r="I572">
        <v>149.77000000000001</v>
      </c>
      <c r="J572">
        <v>875.43</v>
      </c>
      <c r="K572">
        <v>5167.93</v>
      </c>
      <c r="L572">
        <v>32081.88</v>
      </c>
      <c r="M572">
        <v>49.32</v>
      </c>
      <c r="N572">
        <v>0</v>
      </c>
      <c r="O572">
        <v>849.66</v>
      </c>
      <c r="P572">
        <v>32980.870000000003</v>
      </c>
      <c r="Q572">
        <v>2632.42</v>
      </c>
      <c r="R572">
        <v>1024.99</v>
      </c>
      <c r="S572">
        <v>0</v>
      </c>
      <c r="T572">
        <v>8703.7199999999993</v>
      </c>
      <c r="U572">
        <v>0</v>
      </c>
      <c r="V572">
        <v>165.74</v>
      </c>
      <c r="W572">
        <v>1988.57</v>
      </c>
      <c r="X572">
        <v>14515.44</v>
      </c>
      <c r="Y572">
        <v>1645</v>
      </c>
      <c r="Z572">
        <v>94614.38</v>
      </c>
      <c r="AA572">
        <v>417.22</v>
      </c>
      <c r="AB572">
        <v>0</v>
      </c>
      <c r="AC572">
        <v>263.32</v>
      </c>
      <c r="AD572">
        <v>4014.29</v>
      </c>
      <c r="AE572">
        <v>153618.44</v>
      </c>
      <c r="AF572">
        <v>20100</v>
      </c>
      <c r="AG572" t="s">
        <v>51</v>
      </c>
      <c r="AH572" t="s">
        <v>52</v>
      </c>
      <c r="AI572" t="s">
        <v>51</v>
      </c>
      <c r="AJ572" t="s">
        <v>52</v>
      </c>
      <c r="AK572">
        <v>16758</v>
      </c>
      <c r="AL572" t="s">
        <v>64</v>
      </c>
      <c r="AM572">
        <v>3</v>
      </c>
      <c r="AN572">
        <v>3</v>
      </c>
      <c r="AO572">
        <v>2024</v>
      </c>
      <c r="AP572">
        <v>3</v>
      </c>
    </row>
    <row r="573" spans="1:42" x14ac:dyDescent="0.25">
      <c r="A573">
        <v>617.27</v>
      </c>
      <c r="B573">
        <v>4880.34</v>
      </c>
      <c r="C573">
        <v>2424.42</v>
      </c>
      <c r="D573">
        <v>492.11</v>
      </c>
      <c r="E573">
        <v>493.99</v>
      </c>
      <c r="F573">
        <v>8908.1200000000008</v>
      </c>
      <c r="G573">
        <v>2662.21</v>
      </c>
      <c r="H573">
        <v>559.11</v>
      </c>
      <c r="I573">
        <v>534.45000000000005</v>
      </c>
      <c r="J573">
        <v>3755.78</v>
      </c>
      <c r="K573">
        <v>12663.9</v>
      </c>
      <c r="L573">
        <v>19437.349999999999</v>
      </c>
      <c r="M573">
        <v>561.23</v>
      </c>
      <c r="N573">
        <v>0</v>
      </c>
      <c r="O573">
        <v>260.64</v>
      </c>
      <c r="P573">
        <v>20259.21</v>
      </c>
      <c r="Q573">
        <v>20.239999999999998</v>
      </c>
      <c r="R573">
        <v>1285.78</v>
      </c>
      <c r="S573">
        <v>1128.6400000000001</v>
      </c>
      <c r="T573">
        <v>331.93</v>
      </c>
      <c r="U573">
        <v>0</v>
      </c>
      <c r="V573">
        <v>1157.3800000000001</v>
      </c>
      <c r="W573">
        <v>1904.86</v>
      </c>
      <c r="X573">
        <v>5828.83</v>
      </c>
      <c r="Y573">
        <v>438.77</v>
      </c>
      <c r="Z573">
        <v>2129.4899999999998</v>
      </c>
      <c r="AA573">
        <v>11215.89</v>
      </c>
      <c r="AB573">
        <v>45.87</v>
      </c>
      <c r="AC573">
        <v>118.73</v>
      </c>
      <c r="AD573">
        <v>0</v>
      </c>
      <c r="AE573">
        <v>52700.68</v>
      </c>
      <c r="AF573">
        <v>21629</v>
      </c>
      <c r="AG573" t="s">
        <v>120</v>
      </c>
      <c r="AH573" t="s">
        <v>121</v>
      </c>
      <c r="AI573" t="s">
        <v>120</v>
      </c>
      <c r="AJ573" t="s">
        <v>121</v>
      </c>
      <c r="AK573">
        <v>11042</v>
      </c>
      <c r="AL573" t="s">
        <v>47</v>
      </c>
      <c r="AM573">
        <v>2</v>
      </c>
      <c r="AN573">
        <v>2</v>
      </c>
      <c r="AO573">
        <v>2024</v>
      </c>
      <c r="AP573">
        <v>1</v>
      </c>
    </row>
    <row r="574" spans="1:42" x14ac:dyDescent="0.25">
      <c r="A574">
        <v>618.20000000000005</v>
      </c>
      <c r="B574">
        <v>6265.66</v>
      </c>
      <c r="C574">
        <v>2241.98</v>
      </c>
      <c r="D574">
        <v>467.14</v>
      </c>
      <c r="E574">
        <v>540.36</v>
      </c>
      <c r="F574">
        <v>10133.33</v>
      </c>
      <c r="G574">
        <v>3717.25</v>
      </c>
      <c r="H574">
        <v>479.51</v>
      </c>
      <c r="I574">
        <v>518.6</v>
      </c>
      <c r="J574">
        <v>4715.3500000000004</v>
      </c>
      <c r="K574">
        <v>14848.68</v>
      </c>
      <c r="L574">
        <v>26767.13</v>
      </c>
      <c r="M574">
        <v>904.08</v>
      </c>
      <c r="N574">
        <v>0</v>
      </c>
      <c r="O574">
        <v>307.52</v>
      </c>
      <c r="P574">
        <v>27978.720000000001</v>
      </c>
      <c r="Q574">
        <v>19.54</v>
      </c>
      <c r="R574">
        <v>1519.45</v>
      </c>
      <c r="S574">
        <v>1164.67</v>
      </c>
      <c r="T574">
        <v>246.35</v>
      </c>
      <c r="U574">
        <v>0</v>
      </c>
      <c r="V574">
        <v>1014.4</v>
      </c>
      <c r="W574">
        <v>4426.5200000000004</v>
      </c>
      <c r="X574">
        <v>8390.92</v>
      </c>
      <c r="Y574">
        <v>1108.8399999999999</v>
      </c>
      <c r="Z574">
        <v>2689.68</v>
      </c>
      <c r="AA574">
        <v>10578.25</v>
      </c>
      <c r="AB574">
        <v>30.58</v>
      </c>
      <c r="AC574">
        <v>138.21</v>
      </c>
      <c r="AD574">
        <v>0</v>
      </c>
      <c r="AE574">
        <v>65763.89</v>
      </c>
      <c r="AF574">
        <v>21629</v>
      </c>
      <c r="AG574" t="s">
        <v>120</v>
      </c>
      <c r="AH574" t="s">
        <v>121</v>
      </c>
      <c r="AI574" t="s">
        <v>120</v>
      </c>
      <c r="AJ574" t="s">
        <v>121</v>
      </c>
      <c r="AK574">
        <v>11042</v>
      </c>
      <c r="AL574" t="s">
        <v>47</v>
      </c>
      <c r="AM574">
        <v>2</v>
      </c>
      <c r="AN574">
        <v>2</v>
      </c>
      <c r="AO574">
        <v>2024</v>
      </c>
      <c r="AP574">
        <v>3</v>
      </c>
    </row>
    <row r="575" spans="1:42" x14ac:dyDescent="0.25">
      <c r="A575">
        <v>622.92999999999995</v>
      </c>
      <c r="B575">
        <v>5773.44</v>
      </c>
      <c r="C575">
        <v>2377.6</v>
      </c>
      <c r="D575">
        <v>510.59</v>
      </c>
      <c r="E575">
        <v>491.13</v>
      </c>
      <c r="F575">
        <v>9775.69</v>
      </c>
      <c r="G575">
        <v>3347.93</v>
      </c>
      <c r="H575">
        <v>443.17</v>
      </c>
      <c r="I575">
        <v>595.41999999999996</v>
      </c>
      <c r="J575">
        <v>4386.5200000000004</v>
      </c>
      <c r="K575">
        <v>14162.2</v>
      </c>
      <c r="L575">
        <v>26004.26</v>
      </c>
      <c r="M575">
        <v>605.03</v>
      </c>
      <c r="N575">
        <v>0</v>
      </c>
      <c r="O575">
        <v>254.48</v>
      </c>
      <c r="P575">
        <v>26863.77</v>
      </c>
      <c r="Q575">
        <v>19.7</v>
      </c>
      <c r="R575">
        <v>1407.02</v>
      </c>
      <c r="S575">
        <v>1099.06</v>
      </c>
      <c r="T575">
        <v>466.04</v>
      </c>
      <c r="U575">
        <v>0</v>
      </c>
      <c r="V575">
        <v>1020.78</v>
      </c>
      <c r="W575">
        <v>3377.69</v>
      </c>
      <c r="X575">
        <v>7390.29</v>
      </c>
      <c r="Y575">
        <v>776.08</v>
      </c>
      <c r="Z575">
        <v>2462.87</v>
      </c>
      <c r="AA575">
        <v>10954.96</v>
      </c>
      <c r="AB575">
        <v>37.159999999999997</v>
      </c>
      <c r="AC575">
        <v>94.48</v>
      </c>
      <c r="AD575">
        <v>0</v>
      </c>
      <c r="AE575">
        <v>62741.79</v>
      </c>
      <c r="AF575">
        <v>21629</v>
      </c>
      <c r="AG575" t="s">
        <v>120</v>
      </c>
      <c r="AH575" t="s">
        <v>121</v>
      </c>
      <c r="AI575" t="s">
        <v>120</v>
      </c>
      <c r="AJ575" t="s">
        <v>121</v>
      </c>
      <c r="AK575">
        <v>11042</v>
      </c>
      <c r="AL575" t="s">
        <v>47</v>
      </c>
      <c r="AM575">
        <v>2</v>
      </c>
      <c r="AN575">
        <v>2</v>
      </c>
      <c r="AO575">
        <v>2024</v>
      </c>
      <c r="AP575">
        <v>2</v>
      </c>
    </row>
    <row r="576" spans="1:42" x14ac:dyDescent="0.25">
      <c r="A576">
        <v>625.52</v>
      </c>
      <c r="B576">
        <v>7013.74</v>
      </c>
      <c r="C576">
        <v>2463.44</v>
      </c>
      <c r="D576">
        <v>543.85</v>
      </c>
      <c r="E576">
        <v>576.01</v>
      </c>
      <c r="F576">
        <v>11222.56</v>
      </c>
      <c r="G576">
        <v>3903.13</v>
      </c>
      <c r="H576">
        <v>677.79</v>
      </c>
      <c r="I576">
        <v>524.13</v>
      </c>
      <c r="J576">
        <v>5105.04</v>
      </c>
      <c r="K576">
        <v>16327.6</v>
      </c>
      <c r="L576">
        <v>19570.04</v>
      </c>
      <c r="M576">
        <v>697.92</v>
      </c>
      <c r="N576">
        <v>0</v>
      </c>
      <c r="O576">
        <v>302.58999999999997</v>
      </c>
      <c r="P576">
        <v>20570.560000000001</v>
      </c>
      <c r="Q576">
        <v>19.5</v>
      </c>
      <c r="R576">
        <v>1361.56</v>
      </c>
      <c r="S576">
        <v>1318.61</v>
      </c>
      <c r="T576">
        <v>485.25</v>
      </c>
      <c r="U576">
        <v>0</v>
      </c>
      <c r="V576">
        <v>747.96</v>
      </c>
      <c r="W576">
        <v>3182.53</v>
      </c>
      <c r="X576">
        <v>7115.41</v>
      </c>
      <c r="Y576">
        <v>979.21</v>
      </c>
      <c r="Z576">
        <v>2497.1</v>
      </c>
      <c r="AA576">
        <v>10809.71</v>
      </c>
      <c r="AB576">
        <v>26.75</v>
      </c>
      <c r="AC576">
        <v>110.14</v>
      </c>
      <c r="AD576">
        <v>0</v>
      </c>
      <c r="AE576">
        <v>58436.47</v>
      </c>
      <c r="AF576">
        <v>21629</v>
      </c>
      <c r="AG576" t="s">
        <v>120</v>
      </c>
      <c r="AH576" t="s">
        <v>121</v>
      </c>
      <c r="AI576" t="s">
        <v>120</v>
      </c>
      <c r="AJ576" t="s">
        <v>121</v>
      </c>
      <c r="AK576">
        <v>11042</v>
      </c>
      <c r="AL576" t="s">
        <v>47</v>
      </c>
      <c r="AM576">
        <v>2</v>
      </c>
      <c r="AN576">
        <v>2</v>
      </c>
      <c r="AO576">
        <v>2024</v>
      </c>
      <c r="AP576">
        <v>4</v>
      </c>
    </row>
    <row r="577" spans="1:42" x14ac:dyDescent="0.25">
      <c r="A577">
        <v>628.19000000000005</v>
      </c>
      <c r="B577">
        <v>0</v>
      </c>
      <c r="C577">
        <v>51.56</v>
      </c>
      <c r="D577">
        <v>156.76</v>
      </c>
      <c r="E577">
        <v>4266.57</v>
      </c>
      <c r="F577">
        <v>5103.07</v>
      </c>
      <c r="G577">
        <v>285.89999999999998</v>
      </c>
      <c r="H577">
        <v>619.84</v>
      </c>
      <c r="I577">
        <v>272.79000000000002</v>
      </c>
      <c r="J577">
        <v>1178.52</v>
      </c>
      <c r="K577">
        <v>6281.59</v>
      </c>
      <c r="L577">
        <v>33643.620000000003</v>
      </c>
      <c r="M577">
        <v>69.56</v>
      </c>
      <c r="N577">
        <v>0</v>
      </c>
      <c r="O577">
        <v>749.2</v>
      </c>
      <c r="P577">
        <v>34462.379999999997</v>
      </c>
      <c r="Q577">
        <v>2788.42</v>
      </c>
      <c r="R577">
        <v>921.96</v>
      </c>
      <c r="S577">
        <v>0</v>
      </c>
      <c r="T577">
        <v>9647.68</v>
      </c>
      <c r="U577">
        <v>0</v>
      </c>
      <c r="V577">
        <v>244.14</v>
      </c>
      <c r="W577">
        <v>2538.0500000000002</v>
      </c>
      <c r="X577">
        <v>16140.26</v>
      </c>
      <c r="Y577">
        <v>1515.39</v>
      </c>
      <c r="Z577">
        <v>101010.53</v>
      </c>
      <c r="AA577">
        <v>515.99</v>
      </c>
      <c r="AB577">
        <v>0</v>
      </c>
      <c r="AC577">
        <v>285.89999999999998</v>
      </c>
      <c r="AD577">
        <v>4245.8</v>
      </c>
      <c r="AE577">
        <v>164457.82</v>
      </c>
      <c r="AF577">
        <v>20100</v>
      </c>
      <c r="AG577" t="s">
        <v>51</v>
      </c>
      <c r="AH577" t="s">
        <v>52</v>
      </c>
      <c r="AI577" t="s">
        <v>51</v>
      </c>
      <c r="AJ577" t="s">
        <v>52</v>
      </c>
      <c r="AK577">
        <v>16758</v>
      </c>
      <c r="AL577" t="s">
        <v>64</v>
      </c>
      <c r="AM577">
        <v>3</v>
      </c>
      <c r="AN577">
        <v>3</v>
      </c>
      <c r="AO577">
        <v>2024</v>
      </c>
      <c r="AP577">
        <v>2</v>
      </c>
    </row>
    <row r="578" spans="1:42" x14ac:dyDescent="0.25">
      <c r="A578">
        <v>637</v>
      </c>
      <c r="B578">
        <v>40510</v>
      </c>
      <c r="C578">
        <v>5244</v>
      </c>
      <c r="D578">
        <v>8559</v>
      </c>
      <c r="E578">
        <v>15024</v>
      </c>
      <c r="F578">
        <v>69973</v>
      </c>
      <c r="G578">
        <v>7069</v>
      </c>
      <c r="H578">
        <v>17586</v>
      </c>
      <c r="I578">
        <v>4611</v>
      </c>
      <c r="J578">
        <v>29265</v>
      </c>
      <c r="K578">
        <v>99238</v>
      </c>
      <c r="L578">
        <v>60654</v>
      </c>
      <c r="M578">
        <v>1633</v>
      </c>
      <c r="N578">
        <v>6420</v>
      </c>
      <c r="O578">
        <v>6539</v>
      </c>
      <c r="P578">
        <v>75246</v>
      </c>
      <c r="Q578">
        <v>3039</v>
      </c>
      <c r="R578">
        <v>912</v>
      </c>
      <c r="S578">
        <v>452</v>
      </c>
      <c r="T578">
        <v>12125</v>
      </c>
      <c r="U578">
        <v>683</v>
      </c>
      <c r="V578">
        <v>0</v>
      </c>
      <c r="W578">
        <v>23819</v>
      </c>
      <c r="X578">
        <v>41029</v>
      </c>
      <c r="Y578">
        <v>4556</v>
      </c>
      <c r="Z578">
        <v>15200</v>
      </c>
      <c r="AA578">
        <v>14373</v>
      </c>
      <c r="AB578">
        <v>0</v>
      </c>
      <c r="AC578">
        <v>7850</v>
      </c>
      <c r="AD578">
        <v>0</v>
      </c>
      <c r="AE578">
        <v>257491</v>
      </c>
      <c r="AF578">
        <v>19930</v>
      </c>
      <c r="AG578" t="s">
        <v>107</v>
      </c>
      <c r="AH578" t="s">
        <v>108</v>
      </c>
      <c r="AI578" t="s">
        <v>107</v>
      </c>
      <c r="AJ578" t="s">
        <v>108</v>
      </c>
      <c r="AK578">
        <v>16031</v>
      </c>
      <c r="AL578" t="s">
        <v>50</v>
      </c>
      <c r="AM578">
        <v>3</v>
      </c>
      <c r="AN578">
        <v>3</v>
      </c>
      <c r="AO578">
        <v>2024</v>
      </c>
      <c r="AP578">
        <v>1</v>
      </c>
    </row>
    <row r="579" spans="1:42" x14ac:dyDescent="0.25">
      <c r="A579">
        <v>652</v>
      </c>
      <c r="B579">
        <v>27730</v>
      </c>
      <c r="C579">
        <v>3318</v>
      </c>
      <c r="D579">
        <v>6346</v>
      </c>
      <c r="E579">
        <v>18964</v>
      </c>
      <c r="F579">
        <v>57010</v>
      </c>
      <c r="G579">
        <v>4812</v>
      </c>
      <c r="H579">
        <v>13766</v>
      </c>
      <c r="I579">
        <v>2919</v>
      </c>
      <c r="J579">
        <v>21496</v>
      </c>
      <c r="K579">
        <v>78506</v>
      </c>
      <c r="L579">
        <v>37764</v>
      </c>
      <c r="M579">
        <v>1412</v>
      </c>
      <c r="N579">
        <v>4922</v>
      </c>
      <c r="O579">
        <v>4181</v>
      </c>
      <c r="P579">
        <v>48280</v>
      </c>
      <c r="Q579">
        <v>1887</v>
      </c>
      <c r="R579">
        <v>578</v>
      </c>
      <c r="S579">
        <v>334</v>
      </c>
      <c r="T579">
        <v>10361</v>
      </c>
      <c r="U579">
        <v>461</v>
      </c>
      <c r="V579">
        <v>0</v>
      </c>
      <c r="W579">
        <v>16943</v>
      </c>
      <c r="X579">
        <v>30563</v>
      </c>
      <c r="Y579">
        <v>3681</v>
      </c>
      <c r="Z579">
        <v>11780</v>
      </c>
      <c r="AA579">
        <v>10198</v>
      </c>
      <c r="AB579">
        <v>0</v>
      </c>
      <c r="AC579">
        <v>4845</v>
      </c>
      <c r="AD579">
        <v>0</v>
      </c>
      <c r="AE579">
        <v>187853</v>
      </c>
      <c r="AF579">
        <v>19930</v>
      </c>
      <c r="AG579" t="s">
        <v>107</v>
      </c>
      <c r="AH579" t="s">
        <v>108</v>
      </c>
      <c r="AI579" t="s">
        <v>107</v>
      </c>
      <c r="AJ579" t="s">
        <v>108</v>
      </c>
      <c r="AK579">
        <v>16031</v>
      </c>
      <c r="AL579" t="s">
        <v>50</v>
      </c>
      <c r="AM579">
        <v>3</v>
      </c>
      <c r="AN579">
        <v>3</v>
      </c>
      <c r="AO579">
        <v>2024</v>
      </c>
      <c r="AP579">
        <v>4</v>
      </c>
    </row>
    <row r="580" spans="1:42" x14ac:dyDescent="0.25">
      <c r="A580">
        <v>657.66</v>
      </c>
      <c r="B580">
        <v>30199.05</v>
      </c>
      <c r="C580">
        <v>7303.95</v>
      </c>
      <c r="D580">
        <v>65108.99</v>
      </c>
      <c r="E580">
        <v>13190.74</v>
      </c>
      <c r="F580">
        <v>116460.4</v>
      </c>
      <c r="G580">
        <v>7795.15</v>
      </c>
      <c r="H580">
        <v>20627.82</v>
      </c>
      <c r="I580">
        <v>8118.96</v>
      </c>
      <c r="J580">
        <v>36541.94</v>
      </c>
      <c r="K580">
        <v>153002.32999999999</v>
      </c>
      <c r="L580">
        <v>95.33</v>
      </c>
      <c r="M580">
        <v>5179.71</v>
      </c>
      <c r="N580">
        <v>39.29</v>
      </c>
      <c r="O580">
        <v>2593.2399999999998</v>
      </c>
      <c r="P580">
        <v>7907.56</v>
      </c>
      <c r="Q580">
        <v>0</v>
      </c>
      <c r="R580">
        <v>57.55</v>
      </c>
      <c r="S580">
        <v>279.25</v>
      </c>
      <c r="T580">
        <v>23820.49</v>
      </c>
      <c r="U580">
        <v>0</v>
      </c>
      <c r="V580">
        <v>0</v>
      </c>
      <c r="W580">
        <v>7153.75</v>
      </c>
      <c r="X580">
        <v>31311.040000000001</v>
      </c>
      <c r="Y580">
        <v>0</v>
      </c>
      <c r="Z580">
        <v>14477.12</v>
      </c>
      <c r="AA580">
        <v>3154.9</v>
      </c>
      <c r="AB580">
        <v>0</v>
      </c>
      <c r="AC580">
        <v>485.9</v>
      </c>
      <c r="AD580">
        <v>0</v>
      </c>
      <c r="AE580">
        <v>210338.85</v>
      </c>
      <c r="AF580">
        <v>20427</v>
      </c>
      <c r="AG580" t="s">
        <v>116</v>
      </c>
      <c r="AH580" t="s">
        <v>117</v>
      </c>
      <c r="AI580" t="s">
        <v>116</v>
      </c>
      <c r="AJ580" t="s">
        <v>117</v>
      </c>
      <c r="AK580">
        <v>6918</v>
      </c>
      <c r="AL580" t="s">
        <v>44</v>
      </c>
      <c r="AM580">
        <v>2</v>
      </c>
      <c r="AN580">
        <v>2</v>
      </c>
      <c r="AO580">
        <v>2024</v>
      </c>
      <c r="AP580">
        <v>4</v>
      </c>
    </row>
    <row r="581" spans="1:42" x14ac:dyDescent="0.25">
      <c r="A581">
        <v>660.13</v>
      </c>
      <c r="B581">
        <v>15876.18</v>
      </c>
      <c r="C581">
        <v>5411.7</v>
      </c>
      <c r="D581">
        <v>2112.29</v>
      </c>
      <c r="E581">
        <v>3848.64</v>
      </c>
      <c r="F581">
        <v>27908.94</v>
      </c>
      <c r="G581">
        <v>13680.76</v>
      </c>
      <c r="H581">
        <v>3400.05</v>
      </c>
      <c r="I581">
        <v>2060.2600000000002</v>
      </c>
      <c r="J581">
        <v>19141.07</v>
      </c>
      <c r="K581">
        <v>47050</v>
      </c>
      <c r="L581">
        <v>33670.26</v>
      </c>
      <c r="M581">
        <v>191.52</v>
      </c>
      <c r="N581">
        <v>4315.26</v>
      </c>
      <c r="O581">
        <v>483.78</v>
      </c>
      <c r="P581">
        <v>38660.82</v>
      </c>
      <c r="Q581">
        <v>3.85</v>
      </c>
      <c r="R581">
        <v>335.07</v>
      </c>
      <c r="S581">
        <v>539.37</v>
      </c>
      <c r="T581">
        <v>0</v>
      </c>
      <c r="U581">
        <v>3079.51</v>
      </c>
      <c r="V581">
        <v>0</v>
      </c>
      <c r="W581">
        <v>5837.95</v>
      </c>
      <c r="X581">
        <v>9795.75</v>
      </c>
      <c r="Y581">
        <v>728.93</v>
      </c>
      <c r="Z581">
        <v>12520.18</v>
      </c>
      <c r="AA581">
        <v>9119.26</v>
      </c>
      <c r="AB581">
        <v>0</v>
      </c>
      <c r="AC581">
        <v>11477.79</v>
      </c>
      <c r="AD581">
        <v>1.35</v>
      </c>
      <c r="AE581">
        <v>129354.08</v>
      </c>
      <c r="AF581">
        <v>20377</v>
      </c>
      <c r="AG581" t="s">
        <v>69</v>
      </c>
      <c r="AH581" t="s">
        <v>70</v>
      </c>
      <c r="AI581" t="s">
        <v>69</v>
      </c>
      <c r="AJ581" t="s">
        <v>70</v>
      </c>
      <c r="AK581">
        <v>16736</v>
      </c>
      <c r="AL581" t="s">
        <v>47</v>
      </c>
      <c r="AM581">
        <v>2</v>
      </c>
      <c r="AN581">
        <v>2</v>
      </c>
      <c r="AO581">
        <v>2024</v>
      </c>
      <c r="AP581">
        <v>1</v>
      </c>
    </row>
    <row r="582" spans="1:42" x14ac:dyDescent="0.25">
      <c r="A582">
        <v>677.74</v>
      </c>
      <c r="B582">
        <v>48189</v>
      </c>
      <c r="C582">
        <v>4343.32</v>
      </c>
      <c r="D582">
        <v>12439.78</v>
      </c>
      <c r="E582">
        <v>15754.02</v>
      </c>
      <c r="F582">
        <v>81403.850000000006</v>
      </c>
      <c r="G582">
        <v>7416.66</v>
      </c>
      <c r="H582">
        <v>21664.959999999999</v>
      </c>
      <c r="I582">
        <v>4641.0200000000004</v>
      </c>
      <c r="J582">
        <v>33722.639999999999</v>
      </c>
      <c r="K582">
        <v>115126.49</v>
      </c>
      <c r="L582">
        <v>80156.509999999995</v>
      </c>
      <c r="M582">
        <v>2911.18</v>
      </c>
      <c r="N582">
        <v>5136.13</v>
      </c>
      <c r="O582">
        <v>1660.74</v>
      </c>
      <c r="P582">
        <v>89864.57</v>
      </c>
      <c r="Q582">
        <v>2182.46</v>
      </c>
      <c r="R582">
        <v>514.94000000000005</v>
      </c>
      <c r="S582">
        <v>996.37</v>
      </c>
      <c r="T582">
        <v>19162.12</v>
      </c>
      <c r="U582">
        <v>955.33</v>
      </c>
      <c r="V582">
        <v>0</v>
      </c>
      <c r="W582">
        <v>45026.17</v>
      </c>
      <c r="X582">
        <v>68837.39</v>
      </c>
      <c r="Y582">
        <v>8508.59</v>
      </c>
      <c r="Z582">
        <v>15828.54</v>
      </c>
      <c r="AA582">
        <v>19142.509999999998</v>
      </c>
      <c r="AB582">
        <v>2491.4299999999998</v>
      </c>
      <c r="AC582">
        <v>7470.54</v>
      </c>
      <c r="AD582">
        <v>64.849999999999994</v>
      </c>
      <c r="AE582">
        <v>327334.90999999997</v>
      </c>
      <c r="AF582">
        <v>20409</v>
      </c>
      <c r="AG582" t="s">
        <v>95</v>
      </c>
      <c r="AH582" t="s">
        <v>96</v>
      </c>
      <c r="AI582" t="s">
        <v>95</v>
      </c>
      <c r="AJ582" t="s">
        <v>96</v>
      </c>
      <c r="AK582">
        <v>16673</v>
      </c>
      <c r="AL582" t="s">
        <v>50</v>
      </c>
      <c r="AM582">
        <v>3</v>
      </c>
      <c r="AN582">
        <v>3</v>
      </c>
      <c r="AO582">
        <v>2024</v>
      </c>
      <c r="AP582">
        <v>3</v>
      </c>
    </row>
    <row r="583" spans="1:42" x14ac:dyDescent="0.25">
      <c r="A583">
        <v>700</v>
      </c>
      <c r="B583">
        <v>21417</v>
      </c>
      <c r="C583">
        <v>6479</v>
      </c>
      <c r="D583">
        <v>16993</v>
      </c>
      <c r="E583">
        <v>7455</v>
      </c>
      <c r="F583">
        <v>53045</v>
      </c>
      <c r="G583">
        <v>6152</v>
      </c>
      <c r="H583">
        <v>10545</v>
      </c>
      <c r="I583">
        <v>4342</v>
      </c>
      <c r="J583">
        <v>21038</v>
      </c>
      <c r="K583">
        <v>74083</v>
      </c>
      <c r="L583">
        <v>0</v>
      </c>
      <c r="M583">
        <v>2055</v>
      </c>
      <c r="N583">
        <v>0</v>
      </c>
      <c r="O583">
        <v>3309</v>
      </c>
      <c r="P583">
        <v>5364</v>
      </c>
      <c r="Q583">
        <v>3</v>
      </c>
      <c r="R583">
        <v>375</v>
      </c>
      <c r="S583">
        <v>473</v>
      </c>
      <c r="T583">
        <v>12579</v>
      </c>
      <c r="U583">
        <v>0</v>
      </c>
      <c r="V583">
        <v>0</v>
      </c>
      <c r="W583">
        <v>-20796</v>
      </c>
      <c r="X583">
        <v>-7365</v>
      </c>
      <c r="Y583">
        <v>0</v>
      </c>
      <c r="Z583">
        <v>33</v>
      </c>
      <c r="AA583">
        <v>13609</v>
      </c>
      <c r="AB583">
        <v>0</v>
      </c>
      <c r="AC583">
        <v>-5054</v>
      </c>
      <c r="AD583">
        <v>0</v>
      </c>
      <c r="AE583">
        <v>80669</v>
      </c>
      <c r="AF583">
        <v>19687</v>
      </c>
      <c r="AG583" t="s">
        <v>48</v>
      </c>
      <c r="AH583" t="s">
        <v>49</v>
      </c>
      <c r="AI583" t="s">
        <v>48</v>
      </c>
      <c r="AJ583" t="s">
        <v>49</v>
      </c>
      <c r="AK583">
        <v>6580</v>
      </c>
      <c r="AL583" t="s">
        <v>44</v>
      </c>
      <c r="AM583">
        <v>2</v>
      </c>
      <c r="AN583">
        <v>2</v>
      </c>
      <c r="AO583">
        <v>2024</v>
      </c>
      <c r="AP583">
        <v>1</v>
      </c>
    </row>
    <row r="584" spans="1:42" x14ac:dyDescent="0.25">
      <c r="A584">
        <v>700.55</v>
      </c>
      <c r="B584">
        <v>2268.5300000000002</v>
      </c>
      <c r="C584">
        <v>1440.34</v>
      </c>
      <c r="D584">
        <v>1080.3499999999999</v>
      </c>
      <c r="E584">
        <v>0</v>
      </c>
      <c r="F584">
        <v>5489.76</v>
      </c>
      <c r="G584">
        <v>45.65</v>
      </c>
      <c r="H584">
        <v>189.21</v>
      </c>
      <c r="I584">
        <v>48.67</v>
      </c>
      <c r="J584">
        <v>283.54000000000002</v>
      </c>
      <c r="K584">
        <v>5773.3</v>
      </c>
      <c r="L584">
        <v>2208.2199999999998</v>
      </c>
      <c r="M584">
        <v>38.74</v>
      </c>
      <c r="N584">
        <v>31.41</v>
      </c>
      <c r="O584">
        <v>2.33</v>
      </c>
      <c r="P584">
        <v>2280.71</v>
      </c>
      <c r="Q584">
        <v>20.95</v>
      </c>
      <c r="R584">
        <v>100.78</v>
      </c>
      <c r="S584">
        <v>174.63</v>
      </c>
      <c r="T584">
        <v>142.51</v>
      </c>
      <c r="U584">
        <v>0</v>
      </c>
      <c r="V584">
        <v>0</v>
      </c>
      <c r="W584">
        <v>282.37</v>
      </c>
      <c r="X584">
        <v>721.24</v>
      </c>
      <c r="Y584">
        <v>173.29</v>
      </c>
      <c r="Z584">
        <v>226.92</v>
      </c>
      <c r="AA584">
        <v>0</v>
      </c>
      <c r="AB584">
        <v>1005.34</v>
      </c>
      <c r="AC584">
        <v>0</v>
      </c>
      <c r="AD584">
        <v>0</v>
      </c>
      <c r="AE584">
        <v>10180.790000000001</v>
      </c>
      <c r="AF584">
        <v>20310</v>
      </c>
      <c r="AG584" t="s">
        <v>71</v>
      </c>
      <c r="AH584" t="s">
        <v>72</v>
      </c>
      <c r="AI584" t="s">
        <v>71</v>
      </c>
      <c r="AJ584" t="s">
        <v>72</v>
      </c>
      <c r="AK584">
        <v>6076</v>
      </c>
      <c r="AL584" t="s">
        <v>44</v>
      </c>
      <c r="AM584">
        <v>1</v>
      </c>
      <c r="AN584">
        <v>1</v>
      </c>
      <c r="AO584">
        <v>2024</v>
      </c>
      <c r="AP584">
        <v>2</v>
      </c>
    </row>
    <row r="585" spans="1:42" x14ac:dyDescent="0.25">
      <c r="A585">
        <v>715.12</v>
      </c>
      <c r="B585">
        <v>11982.88</v>
      </c>
      <c r="C585">
        <v>2709.78</v>
      </c>
      <c r="D585">
        <v>1136.8599999999999</v>
      </c>
      <c r="E585">
        <v>5961.31</v>
      </c>
      <c r="F585">
        <v>22505.96</v>
      </c>
      <c r="G585">
        <v>2115.64</v>
      </c>
      <c r="H585">
        <v>3196.84</v>
      </c>
      <c r="I585">
        <v>1393.23</v>
      </c>
      <c r="J585">
        <v>6705.71</v>
      </c>
      <c r="K585">
        <v>29211.66</v>
      </c>
      <c r="L585">
        <v>132.33000000000001</v>
      </c>
      <c r="M585">
        <v>3912.36</v>
      </c>
      <c r="N585">
        <v>0</v>
      </c>
      <c r="O585">
        <v>195.47</v>
      </c>
      <c r="P585">
        <v>4240.16</v>
      </c>
      <c r="Q585">
        <v>0</v>
      </c>
      <c r="R585">
        <v>183.08</v>
      </c>
      <c r="S585">
        <v>345.19</v>
      </c>
      <c r="T585">
        <v>10563.74</v>
      </c>
      <c r="U585">
        <v>0</v>
      </c>
      <c r="V585">
        <v>0</v>
      </c>
      <c r="W585">
        <v>2324.7199999999998</v>
      </c>
      <c r="X585">
        <v>13416.73</v>
      </c>
      <c r="Y585">
        <v>2.37</v>
      </c>
      <c r="Z585">
        <v>2872.55</v>
      </c>
      <c r="AA585">
        <v>5822.63</v>
      </c>
      <c r="AB585">
        <v>173.51</v>
      </c>
      <c r="AC585">
        <v>22.75</v>
      </c>
      <c r="AD585">
        <v>3.69</v>
      </c>
      <c r="AE585">
        <v>55766.05</v>
      </c>
      <c r="AF585">
        <v>20046</v>
      </c>
      <c r="AG585" t="s">
        <v>124</v>
      </c>
      <c r="AH585" t="s">
        <v>125</v>
      </c>
      <c r="AI585" t="s">
        <v>124</v>
      </c>
      <c r="AJ585" t="s">
        <v>125</v>
      </c>
      <c r="AK585">
        <v>6024</v>
      </c>
      <c r="AL585" t="s">
        <v>44</v>
      </c>
      <c r="AM585">
        <v>2</v>
      </c>
      <c r="AN585">
        <v>2</v>
      </c>
      <c r="AO585">
        <v>2024</v>
      </c>
      <c r="AP585">
        <v>4</v>
      </c>
    </row>
    <row r="586" spans="1:42" x14ac:dyDescent="0.25">
      <c r="A586">
        <v>729.39</v>
      </c>
      <c r="B586">
        <v>3247.23</v>
      </c>
      <c r="C586">
        <v>2814.38</v>
      </c>
      <c r="D586">
        <v>547.87</v>
      </c>
      <c r="F586">
        <v>7338.87</v>
      </c>
      <c r="G586">
        <v>1708.79</v>
      </c>
      <c r="H586">
        <v>1144.04</v>
      </c>
      <c r="I586">
        <v>423.12</v>
      </c>
      <c r="J586">
        <v>3275.94</v>
      </c>
      <c r="K586">
        <v>10614.81</v>
      </c>
      <c r="L586">
        <v>0</v>
      </c>
      <c r="M586">
        <v>1377.76</v>
      </c>
      <c r="O586">
        <v>13.04</v>
      </c>
      <c r="P586">
        <v>1390.8</v>
      </c>
      <c r="Q586">
        <v>158.51</v>
      </c>
      <c r="R586">
        <v>99.09</v>
      </c>
      <c r="S586">
        <v>113.08</v>
      </c>
      <c r="T586">
        <v>3828.27</v>
      </c>
      <c r="V586">
        <v>509.82</v>
      </c>
      <c r="W586">
        <v>782.14</v>
      </c>
      <c r="X586">
        <v>5490.91</v>
      </c>
      <c r="Y586">
        <v>0</v>
      </c>
      <c r="Z586">
        <v>462.87</v>
      </c>
      <c r="AA586">
        <v>5718.64</v>
      </c>
      <c r="AD586">
        <v>187.71</v>
      </c>
      <c r="AE586">
        <v>23865.74</v>
      </c>
      <c r="AF586">
        <v>20370</v>
      </c>
      <c r="AG586" t="s">
        <v>81</v>
      </c>
      <c r="AH586" t="s">
        <v>82</v>
      </c>
      <c r="AI586" t="s">
        <v>81</v>
      </c>
      <c r="AJ586" t="s">
        <v>82</v>
      </c>
      <c r="AK586">
        <v>6683</v>
      </c>
      <c r="AL586" t="s">
        <v>44</v>
      </c>
      <c r="AM586">
        <v>3</v>
      </c>
      <c r="AN586">
        <v>3</v>
      </c>
      <c r="AO586">
        <v>2024</v>
      </c>
      <c r="AP586">
        <v>4</v>
      </c>
    </row>
    <row r="587" spans="1:42" x14ac:dyDescent="0.25">
      <c r="A587">
        <v>737.26</v>
      </c>
      <c r="B587">
        <v>11866.08</v>
      </c>
      <c r="C587">
        <v>2935.83</v>
      </c>
      <c r="D587">
        <v>1035.93</v>
      </c>
      <c r="E587">
        <v>6908.77</v>
      </c>
      <c r="F587">
        <v>23483.87</v>
      </c>
      <c r="G587">
        <v>2296.25</v>
      </c>
      <c r="H587">
        <v>3898.51</v>
      </c>
      <c r="I587">
        <v>1785.84</v>
      </c>
      <c r="J587">
        <v>7980.59</v>
      </c>
      <c r="K587">
        <v>31464.46</v>
      </c>
      <c r="L587">
        <v>52.34</v>
      </c>
      <c r="M587">
        <v>2383.37</v>
      </c>
      <c r="N587">
        <v>0</v>
      </c>
      <c r="O587">
        <v>169.08</v>
      </c>
      <c r="P587">
        <v>2604.79</v>
      </c>
      <c r="Q587">
        <v>0</v>
      </c>
      <c r="R587">
        <v>156.77000000000001</v>
      </c>
      <c r="S587">
        <v>369.85</v>
      </c>
      <c r="T587">
        <v>9395.83</v>
      </c>
      <c r="U587">
        <v>0</v>
      </c>
      <c r="V587">
        <v>0</v>
      </c>
      <c r="W587">
        <v>1743.84</v>
      </c>
      <c r="X587">
        <v>11666.28</v>
      </c>
      <c r="Y587">
        <v>94.77</v>
      </c>
      <c r="Z587">
        <v>2772.48</v>
      </c>
      <c r="AA587">
        <v>5371.39</v>
      </c>
      <c r="AB587">
        <v>27.13</v>
      </c>
      <c r="AC587">
        <v>253.51</v>
      </c>
      <c r="AD587">
        <v>4.28</v>
      </c>
      <c r="AE587">
        <v>54259.09</v>
      </c>
      <c r="AF587">
        <v>20046</v>
      </c>
      <c r="AG587" t="s">
        <v>124</v>
      </c>
      <c r="AH587" t="s">
        <v>125</v>
      </c>
      <c r="AI587" t="s">
        <v>124</v>
      </c>
      <c r="AJ587" t="s">
        <v>125</v>
      </c>
      <c r="AK587">
        <v>6024</v>
      </c>
      <c r="AL587" t="s">
        <v>44</v>
      </c>
      <c r="AM587">
        <v>2</v>
      </c>
      <c r="AN587">
        <v>2</v>
      </c>
      <c r="AO587">
        <v>2024</v>
      </c>
      <c r="AP587">
        <v>1</v>
      </c>
    </row>
    <row r="588" spans="1:42" x14ac:dyDescent="0.25">
      <c r="A588">
        <v>753.11</v>
      </c>
      <c r="B588">
        <v>5423.19</v>
      </c>
      <c r="C588">
        <v>2414.02</v>
      </c>
      <c r="D588">
        <v>1515.54</v>
      </c>
      <c r="E588">
        <v>690.61</v>
      </c>
      <c r="F588">
        <v>10796.46</v>
      </c>
      <c r="G588">
        <v>1383.79</v>
      </c>
      <c r="H588">
        <v>1702.84</v>
      </c>
      <c r="I588">
        <v>963.7</v>
      </c>
      <c r="J588">
        <v>4050.32</v>
      </c>
      <c r="K588">
        <v>14846.78</v>
      </c>
      <c r="L588">
        <v>119.8</v>
      </c>
      <c r="M588">
        <v>616.48</v>
      </c>
      <c r="N588">
        <v>0</v>
      </c>
      <c r="O588">
        <v>216.14</v>
      </c>
      <c r="P588">
        <v>952.42</v>
      </c>
      <c r="Q588">
        <v>172.35</v>
      </c>
      <c r="R588">
        <v>417.28</v>
      </c>
      <c r="S588">
        <v>483.59</v>
      </c>
      <c r="T588">
        <v>4388.54</v>
      </c>
      <c r="U588">
        <v>0</v>
      </c>
      <c r="V588">
        <v>213.79</v>
      </c>
      <c r="W588">
        <v>1543.18</v>
      </c>
      <c r="X588">
        <v>7218.73</v>
      </c>
      <c r="Y588">
        <v>425.09</v>
      </c>
      <c r="Z588">
        <v>2884.69</v>
      </c>
      <c r="AA588">
        <v>4625.3999999999996</v>
      </c>
      <c r="AB588">
        <v>12.18</v>
      </c>
      <c r="AC588">
        <v>-4280.54</v>
      </c>
      <c r="AD588">
        <v>887.73</v>
      </c>
      <c r="AE588">
        <v>27572.48</v>
      </c>
      <c r="AF588">
        <v>20108</v>
      </c>
      <c r="AG588" t="s">
        <v>118</v>
      </c>
      <c r="AH588" t="s">
        <v>119</v>
      </c>
      <c r="AI588" t="s">
        <v>118</v>
      </c>
      <c r="AJ588" t="s">
        <v>119</v>
      </c>
      <c r="AK588">
        <v>11041</v>
      </c>
      <c r="AL588" t="s">
        <v>47</v>
      </c>
      <c r="AM588">
        <v>2</v>
      </c>
      <c r="AN588">
        <v>2</v>
      </c>
      <c r="AO588">
        <v>2024</v>
      </c>
      <c r="AP588">
        <v>1</v>
      </c>
    </row>
    <row r="589" spans="1:42" x14ac:dyDescent="0.25">
      <c r="A589">
        <v>787.62</v>
      </c>
      <c r="B589">
        <v>12230.82</v>
      </c>
      <c r="C589">
        <v>2827.4</v>
      </c>
      <c r="D589">
        <v>1164.31</v>
      </c>
      <c r="E589">
        <v>6212.24</v>
      </c>
      <c r="F589">
        <v>23222.400000000001</v>
      </c>
      <c r="G589">
        <v>2783.85</v>
      </c>
      <c r="H589">
        <v>3238.18</v>
      </c>
      <c r="I589">
        <v>1762.48</v>
      </c>
      <c r="J589">
        <v>7784.51</v>
      </c>
      <c r="K589">
        <v>31006.91</v>
      </c>
      <c r="L589">
        <v>75.66</v>
      </c>
      <c r="M589">
        <v>4266.22</v>
      </c>
      <c r="N589">
        <v>0</v>
      </c>
      <c r="O589">
        <v>198.33</v>
      </c>
      <c r="P589">
        <v>4540.21</v>
      </c>
      <c r="Q589">
        <v>0</v>
      </c>
      <c r="R589">
        <v>187.95</v>
      </c>
      <c r="S589">
        <v>376.16</v>
      </c>
      <c r="T589">
        <v>11513.49</v>
      </c>
      <c r="U589">
        <v>0</v>
      </c>
      <c r="V589">
        <v>0</v>
      </c>
      <c r="W589">
        <v>2332.59</v>
      </c>
      <c r="X589">
        <v>14410.19</v>
      </c>
      <c r="Y589">
        <v>59.59</v>
      </c>
      <c r="Z589">
        <v>2722.86</v>
      </c>
      <c r="AA589">
        <v>5230.8500000000004</v>
      </c>
      <c r="AB589">
        <v>337.02</v>
      </c>
      <c r="AC589">
        <v>82.37</v>
      </c>
      <c r="AD589">
        <v>0</v>
      </c>
      <c r="AE589">
        <v>58389.98</v>
      </c>
      <c r="AF589">
        <v>20046</v>
      </c>
      <c r="AG589" t="s">
        <v>124</v>
      </c>
      <c r="AH589" t="s">
        <v>125</v>
      </c>
      <c r="AI589" t="s">
        <v>124</v>
      </c>
      <c r="AJ589" t="s">
        <v>125</v>
      </c>
      <c r="AK589">
        <v>6024</v>
      </c>
      <c r="AL589" t="s">
        <v>44</v>
      </c>
      <c r="AM589">
        <v>2</v>
      </c>
      <c r="AN589">
        <v>2</v>
      </c>
      <c r="AO589">
        <v>2024</v>
      </c>
      <c r="AP589">
        <v>3</v>
      </c>
    </row>
    <row r="590" spans="1:42" x14ac:dyDescent="0.25">
      <c r="A590">
        <v>845</v>
      </c>
      <c r="B590">
        <v>21755</v>
      </c>
      <c r="C590">
        <v>6473</v>
      </c>
      <c r="D590">
        <v>18191</v>
      </c>
      <c r="E590">
        <v>9114</v>
      </c>
      <c r="F590">
        <v>56378</v>
      </c>
      <c r="G590">
        <v>6966</v>
      </c>
      <c r="H590">
        <v>12592</v>
      </c>
      <c r="I590">
        <v>4635</v>
      </c>
      <c r="J590">
        <v>24193</v>
      </c>
      <c r="K590">
        <v>80571</v>
      </c>
      <c r="L590">
        <v>0</v>
      </c>
      <c r="M590">
        <v>1880</v>
      </c>
      <c r="N590">
        <v>0</v>
      </c>
      <c r="O590">
        <v>1798</v>
      </c>
      <c r="P590">
        <v>3679</v>
      </c>
      <c r="Q590">
        <v>11</v>
      </c>
      <c r="R590">
        <v>253</v>
      </c>
      <c r="S590">
        <v>464</v>
      </c>
      <c r="T590">
        <v>13909</v>
      </c>
      <c r="U590">
        <v>0</v>
      </c>
      <c r="V590">
        <v>0</v>
      </c>
      <c r="W590">
        <v>-21387</v>
      </c>
      <c r="X590">
        <v>-6751</v>
      </c>
      <c r="Y590">
        <v>0</v>
      </c>
      <c r="Z590">
        <v>23</v>
      </c>
      <c r="AA590">
        <v>14195</v>
      </c>
      <c r="AB590">
        <v>0</v>
      </c>
      <c r="AC590">
        <v>-6179</v>
      </c>
      <c r="AD590">
        <v>0</v>
      </c>
      <c r="AE590">
        <v>85538</v>
      </c>
      <c r="AF590">
        <v>19687</v>
      </c>
      <c r="AG590" t="s">
        <v>48</v>
      </c>
      <c r="AH590" t="s">
        <v>49</v>
      </c>
      <c r="AI590" t="s">
        <v>48</v>
      </c>
      <c r="AJ590" t="s">
        <v>49</v>
      </c>
      <c r="AK590">
        <v>6580</v>
      </c>
      <c r="AL590" t="s">
        <v>44</v>
      </c>
      <c r="AM590">
        <v>2</v>
      </c>
      <c r="AN590">
        <v>2</v>
      </c>
      <c r="AO590">
        <v>2024</v>
      </c>
      <c r="AP590">
        <v>2</v>
      </c>
    </row>
    <row r="591" spans="1:42" x14ac:dyDescent="0.25">
      <c r="A591">
        <v>851.25</v>
      </c>
      <c r="B591">
        <v>11862.7</v>
      </c>
      <c r="C591">
        <v>2574.4499999999998</v>
      </c>
      <c r="D591">
        <v>1339.32</v>
      </c>
      <c r="E591">
        <v>5959.89</v>
      </c>
      <c r="F591">
        <v>22587.599999999999</v>
      </c>
      <c r="G591">
        <v>2297.83</v>
      </c>
      <c r="H591">
        <v>3542.76</v>
      </c>
      <c r="I591">
        <v>1739.16</v>
      </c>
      <c r="J591">
        <v>7579.76</v>
      </c>
      <c r="K591">
        <v>30167.360000000001</v>
      </c>
      <c r="L591">
        <v>79.61</v>
      </c>
      <c r="M591">
        <v>3329.49</v>
      </c>
      <c r="N591">
        <v>0</v>
      </c>
      <c r="O591">
        <v>158.35</v>
      </c>
      <c r="P591">
        <v>3567.45</v>
      </c>
      <c r="Q591">
        <v>0</v>
      </c>
      <c r="R591">
        <v>186.69</v>
      </c>
      <c r="S591">
        <v>396.33</v>
      </c>
      <c r="T591">
        <v>11403.37</v>
      </c>
      <c r="U591">
        <v>0</v>
      </c>
      <c r="V591">
        <v>0</v>
      </c>
      <c r="W591">
        <v>2499.61</v>
      </c>
      <c r="X591">
        <v>14486.01</v>
      </c>
      <c r="Y591">
        <v>22.1</v>
      </c>
      <c r="Z591">
        <v>2596.2800000000002</v>
      </c>
      <c r="AA591">
        <v>5242.13</v>
      </c>
      <c r="AB591">
        <v>38.49</v>
      </c>
      <c r="AC591">
        <v>243.61</v>
      </c>
      <c r="AD591">
        <v>1.17</v>
      </c>
      <c r="AE591">
        <v>56364.6</v>
      </c>
      <c r="AF591">
        <v>20046</v>
      </c>
      <c r="AG591" t="s">
        <v>124</v>
      </c>
      <c r="AH591" t="s">
        <v>125</v>
      </c>
      <c r="AI591" t="s">
        <v>124</v>
      </c>
      <c r="AJ591" t="s">
        <v>125</v>
      </c>
      <c r="AK591">
        <v>6024</v>
      </c>
      <c r="AL591" t="s">
        <v>44</v>
      </c>
      <c r="AM591">
        <v>2</v>
      </c>
      <c r="AN591">
        <v>2</v>
      </c>
      <c r="AO591">
        <v>2024</v>
      </c>
      <c r="AP591">
        <v>2</v>
      </c>
    </row>
    <row r="592" spans="1:42" x14ac:dyDescent="0.25">
      <c r="A592">
        <v>858</v>
      </c>
      <c r="B592">
        <v>23429</v>
      </c>
      <c r="C592">
        <v>6591</v>
      </c>
      <c r="D592">
        <v>18833</v>
      </c>
      <c r="E592">
        <v>13259</v>
      </c>
      <c r="F592">
        <v>62970</v>
      </c>
      <c r="G592">
        <v>7361</v>
      </c>
      <c r="H592">
        <v>11874</v>
      </c>
      <c r="I592">
        <v>4598</v>
      </c>
      <c r="J592">
        <v>23834</v>
      </c>
      <c r="K592">
        <v>86804</v>
      </c>
      <c r="L592">
        <v>0</v>
      </c>
      <c r="M592">
        <v>1437</v>
      </c>
      <c r="N592">
        <v>1</v>
      </c>
      <c r="O592">
        <v>1628</v>
      </c>
      <c r="P592">
        <v>3066</v>
      </c>
      <c r="Q592">
        <v>4</v>
      </c>
      <c r="R592">
        <v>251</v>
      </c>
      <c r="S592">
        <v>461</v>
      </c>
      <c r="T592">
        <v>12620</v>
      </c>
      <c r="U592">
        <v>0</v>
      </c>
      <c r="V592">
        <v>0</v>
      </c>
      <c r="W592">
        <v>-22201</v>
      </c>
      <c r="X592">
        <v>-8866</v>
      </c>
      <c r="Y592">
        <v>0</v>
      </c>
      <c r="Z592">
        <v>25</v>
      </c>
      <c r="AA592">
        <v>14551</v>
      </c>
      <c r="AB592">
        <v>0</v>
      </c>
      <c r="AC592">
        <v>-14667</v>
      </c>
      <c r="AD592">
        <v>0</v>
      </c>
      <c r="AE592">
        <v>80914</v>
      </c>
      <c r="AF592">
        <v>19687</v>
      </c>
      <c r="AG592" t="s">
        <v>48</v>
      </c>
      <c r="AH592" t="s">
        <v>49</v>
      </c>
      <c r="AI592" t="s">
        <v>48</v>
      </c>
      <c r="AJ592" t="s">
        <v>49</v>
      </c>
      <c r="AK592">
        <v>6580</v>
      </c>
      <c r="AL592" t="s">
        <v>44</v>
      </c>
      <c r="AM592">
        <v>2</v>
      </c>
      <c r="AN592">
        <v>2</v>
      </c>
      <c r="AO592">
        <v>2024</v>
      </c>
      <c r="AP592">
        <v>3</v>
      </c>
    </row>
    <row r="593" spans="1:42" x14ac:dyDescent="0.25">
      <c r="A593">
        <v>870.59</v>
      </c>
      <c r="B593">
        <v>21337.96</v>
      </c>
      <c r="C593">
        <v>2277.6799999999998</v>
      </c>
      <c r="D593">
        <v>4467.63</v>
      </c>
      <c r="E593">
        <v>6502.98</v>
      </c>
      <c r="F593">
        <v>35456.82</v>
      </c>
      <c r="G593">
        <v>2993.2</v>
      </c>
      <c r="H593">
        <v>7505.89</v>
      </c>
      <c r="I593">
        <v>1599.87</v>
      </c>
      <c r="J593">
        <v>12098.97</v>
      </c>
      <c r="K593">
        <v>47555.79</v>
      </c>
      <c r="L593">
        <v>42540.94</v>
      </c>
      <c r="M593">
        <v>929.68</v>
      </c>
      <c r="N593">
        <v>3904.44</v>
      </c>
      <c r="O593">
        <v>884.43</v>
      </c>
      <c r="P593">
        <v>48259.49</v>
      </c>
      <c r="Q593">
        <v>3087.62</v>
      </c>
      <c r="R593">
        <v>539.29999999999995</v>
      </c>
      <c r="S593">
        <v>518.99</v>
      </c>
      <c r="T593">
        <v>10536.89</v>
      </c>
      <c r="U593">
        <v>410.76</v>
      </c>
      <c r="V593">
        <v>238.34</v>
      </c>
      <c r="W593">
        <v>16598.13</v>
      </c>
      <c r="X593">
        <v>31930.03</v>
      </c>
      <c r="Y593">
        <v>2559.3200000000002</v>
      </c>
      <c r="Z593">
        <v>12909.51</v>
      </c>
      <c r="AA593">
        <v>6347.09</v>
      </c>
      <c r="AB593">
        <v>34.31</v>
      </c>
      <c r="AC593">
        <v>2620.77</v>
      </c>
      <c r="AD593">
        <v>302.14</v>
      </c>
      <c r="AE593">
        <v>152518.44</v>
      </c>
      <c r="AF593">
        <v>19690</v>
      </c>
      <c r="AG593" t="s">
        <v>126</v>
      </c>
      <c r="AH593" t="s">
        <v>127</v>
      </c>
      <c r="AI593" t="s">
        <v>126</v>
      </c>
      <c r="AJ593" t="s">
        <v>127</v>
      </c>
      <c r="AK593">
        <v>15375</v>
      </c>
      <c r="AL593" t="s">
        <v>64</v>
      </c>
      <c r="AM593">
        <v>3</v>
      </c>
      <c r="AN593">
        <v>3</v>
      </c>
      <c r="AO593">
        <v>2024</v>
      </c>
      <c r="AP593">
        <v>2</v>
      </c>
    </row>
    <row r="594" spans="1:42" x14ac:dyDescent="0.25">
      <c r="A594">
        <v>896.04</v>
      </c>
      <c r="B594">
        <v>8778.26</v>
      </c>
      <c r="C594">
        <v>1748.64</v>
      </c>
      <c r="D594">
        <v>466.29</v>
      </c>
      <c r="E594">
        <v>1739.51</v>
      </c>
      <c r="F594">
        <v>13628.74</v>
      </c>
      <c r="G594">
        <v>2006.34</v>
      </c>
      <c r="H594">
        <v>2366.5100000000002</v>
      </c>
      <c r="I594">
        <v>1322.9</v>
      </c>
      <c r="J594">
        <v>5695.75</v>
      </c>
      <c r="K594">
        <v>19324.48</v>
      </c>
      <c r="L594">
        <v>24011.83</v>
      </c>
      <c r="M594">
        <v>222.83</v>
      </c>
      <c r="N594">
        <v>2.2599999999999998</v>
      </c>
      <c r="O594">
        <v>235.62</v>
      </c>
      <c r="P594">
        <v>24472.53</v>
      </c>
      <c r="Q594">
        <v>160.4</v>
      </c>
      <c r="R594">
        <v>1449.21</v>
      </c>
      <c r="S594">
        <v>90.57</v>
      </c>
      <c r="T594">
        <v>1425.8</v>
      </c>
      <c r="U594">
        <v>241.63</v>
      </c>
      <c r="V594">
        <v>0</v>
      </c>
      <c r="W594">
        <v>13330.18</v>
      </c>
      <c r="X594">
        <v>16697.78</v>
      </c>
      <c r="Y594">
        <v>2559.34</v>
      </c>
      <c r="Z594">
        <v>17015.060000000001</v>
      </c>
      <c r="AA594">
        <v>680.67</v>
      </c>
      <c r="AB594">
        <v>3.36</v>
      </c>
      <c r="AC594">
        <v>-4651.66</v>
      </c>
      <c r="AD594">
        <v>0</v>
      </c>
      <c r="AE594">
        <v>76101.56</v>
      </c>
      <c r="AF594">
        <v>20436</v>
      </c>
      <c r="AG594" t="s">
        <v>122</v>
      </c>
      <c r="AH594" t="s">
        <v>123</v>
      </c>
      <c r="AI594" t="s">
        <v>122</v>
      </c>
      <c r="AJ594" t="s">
        <v>123</v>
      </c>
      <c r="AK594">
        <v>16461</v>
      </c>
      <c r="AL594" t="s">
        <v>50</v>
      </c>
      <c r="AM594">
        <v>3</v>
      </c>
      <c r="AN594">
        <v>3</v>
      </c>
      <c r="AO594">
        <v>2024</v>
      </c>
      <c r="AP594">
        <v>2</v>
      </c>
    </row>
    <row r="595" spans="1:42" x14ac:dyDescent="0.25">
      <c r="A595">
        <v>903.59</v>
      </c>
      <c r="B595">
        <v>23364.34</v>
      </c>
      <c r="C595">
        <v>2373.09</v>
      </c>
      <c r="D595">
        <v>5479.53</v>
      </c>
      <c r="E595">
        <v>7114.25</v>
      </c>
      <c r="F595">
        <v>39234.79</v>
      </c>
      <c r="G595">
        <v>4182.53</v>
      </c>
      <c r="H595">
        <v>9736.68</v>
      </c>
      <c r="I595">
        <v>2019.29</v>
      </c>
      <c r="J595">
        <v>15938.5</v>
      </c>
      <c r="K595">
        <v>55173.3</v>
      </c>
      <c r="L595">
        <v>39432.5</v>
      </c>
      <c r="M595">
        <v>998.12</v>
      </c>
      <c r="N595">
        <v>5260.87</v>
      </c>
      <c r="O595">
        <v>970.44</v>
      </c>
      <c r="P595">
        <v>46661.919999999998</v>
      </c>
      <c r="Q595">
        <v>4430.6499999999996</v>
      </c>
      <c r="R595">
        <v>849.27</v>
      </c>
      <c r="S595">
        <v>317.93</v>
      </c>
      <c r="T595">
        <v>10902.3</v>
      </c>
      <c r="U595">
        <v>528.52</v>
      </c>
      <c r="V595">
        <v>349.5</v>
      </c>
      <c r="W595">
        <v>20209.650000000001</v>
      </c>
      <c r="X595">
        <v>37587.81</v>
      </c>
      <c r="Y595">
        <v>3095.16</v>
      </c>
      <c r="Z595">
        <v>14043.25</v>
      </c>
      <c r="AA595">
        <v>7139.48</v>
      </c>
      <c r="AB595">
        <v>27.39</v>
      </c>
      <c r="AC595">
        <v>13419.74</v>
      </c>
      <c r="AD595">
        <v>439.03</v>
      </c>
      <c r="AE595">
        <v>177587.06</v>
      </c>
      <c r="AF595">
        <v>19690</v>
      </c>
      <c r="AG595" t="s">
        <v>126</v>
      </c>
      <c r="AH595" t="s">
        <v>127</v>
      </c>
      <c r="AI595" t="s">
        <v>126</v>
      </c>
      <c r="AJ595" t="s">
        <v>127</v>
      </c>
      <c r="AK595">
        <v>15375</v>
      </c>
      <c r="AL595" t="s">
        <v>64</v>
      </c>
      <c r="AM595">
        <v>3</v>
      </c>
      <c r="AN595">
        <v>3</v>
      </c>
      <c r="AO595">
        <v>2024</v>
      </c>
      <c r="AP595">
        <v>4</v>
      </c>
    </row>
    <row r="596" spans="1:42" x14ac:dyDescent="0.25">
      <c r="A596">
        <v>935</v>
      </c>
      <c r="B596">
        <v>202732.18</v>
      </c>
      <c r="C596">
        <v>58108.65</v>
      </c>
      <c r="D596">
        <v>59447.46</v>
      </c>
      <c r="E596">
        <v>65761.39</v>
      </c>
      <c r="F596">
        <v>386984.67</v>
      </c>
      <c r="G596">
        <v>31902.22</v>
      </c>
      <c r="H596">
        <v>108175.18</v>
      </c>
      <c r="I596">
        <v>20594.080000000002</v>
      </c>
      <c r="J596">
        <v>160671.48000000001</v>
      </c>
      <c r="K596">
        <v>547656.15</v>
      </c>
      <c r="L596">
        <v>282930.83</v>
      </c>
      <c r="M596">
        <v>44756.15</v>
      </c>
      <c r="N596">
        <v>42361.85</v>
      </c>
      <c r="O596">
        <v>1949.14</v>
      </c>
      <c r="P596">
        <v>371997.97</v>
      </c>
      <c r="Q596">
        <v>4634.71</v>
      </c>
      <c r="R596">
        <v>16721.95</v>
      </c>
      <c r="S596">
        <v>2630.63</v>
      </c>
      <c r="T596">
        <v>79920.070000000007</v>
      </c>
      <c r="U596">
        <v>8817.56</v>
      </c>
      <c r="V596">
        <v>0</v>
      </c>
      <c r="W596">
        <v>137050.63</v>
      </c>
      <c r="X596">
        <v>249775.56</v>
      </c>
      <c r="Y596">
        <v>35141.379999999997</v>
      </c>
      <c r="Z596">
        <v>111989.24</v>
      </c>
      <c r="AA596">
        <v>56594.95</v>
      </c>
      <c r="AB596">
        <v>3406.92</v>
      </c>
      <c r="AC596">
        <v>78111.240000000005</v>
      </c>
      <c r="AD596">
        <v>4760.74</v>
      </c>
      <c r="AE596">
        <v>1459434.14</v>
      </c>
      <c r="AF596">
        <v>19805</v>
      </c>
      <c r="AG596" t="s">
        <v>105</v>
      </c>
      <c r="AH596" t="s">
        <v>106</v>
      </c>
      <c r="AI596" t="s">
        <v>105</v>
      </c>
      <c r="AJ596" t="s">
        <v>106</v>
      </c>
      <c r="AK596">
        <v>10050</v>
      </c>
      <c r="AL596" t="s">
        <v>50</v>
      </c>
      <c r="AM596">
        <v>3</v>
      </c>
      <c r="AN596">
        <v>3</v>
      </c>
      <c r="AO596">
        <v>2024</v>
      </c>
      <c r="AP596">
        <v>3</v>
      </c>
    </row>
    <row r="597" spans="1:42" x14ac:dyDescent="0.25">
      <c r="A597">
        <v>947</v>
      </c>
      <c r="B597">
        <v>24492</v>
      </c>
      <c r="C597">
        <v>6874</v>
      </c>
      <c r="D597">
        <v>19009</v>
      </c>
      <c r="E597">
        <v>17535</v>
      </c>
      <c r="F597">
        <v>68857</v>
      </c>
      <c r="G597">
        <v>6681</v>
      </c>
      <c r="H597">
        <v>12949</v>
      </c>
      <c r="I597">
        <v>3976</v>
      </c>
      <c r="J597">
        <v>23606</v>
      </c>
      <c r="K597">
        <v>92463</v>
      </c>
      <c r="L597">
        <v>0</v>
      </c>
      <c r="M597">
        <v>2650</v>
      </c>
      <c r="N597">
        <v>1</v>
      </c>
      <c r="O597">
        <v>2470</v>
      </c>
      <c r="P597">
        <v>5120</v>
      </c>
      <c r="Q597">
        <v>11</v>
      </c>
      <c r="R597">
        <v>299</v>
      </c>
      <c r="S597">
        <v>417</v>
      </c>
      <c r="T597">
        <v>16360</v>
      </c>
      <c r="U597">
        <v>0</v>
      </c>
      <c r="V597">
        <v>0</v>
      </c>
      <c r="W597">
        <v>-25870</v>
      </c>
      <c r="X597">
        <v>-8784</v>
      </c>
      <c r="Y597">
        <v>0</v>
      </c>
      <c r="Z597">
        <v>30</v>
      </c>
      <c r="AA597">
        <v>14568</v>
      </c>
      <c r="AB597">
        <v>0</v>
      </c>
      <c r="AC597">
        <v>-22836</v>
      </c>
      <c r="AD597">
        <v>0</v>
      </c>
      <c r="AE597">
        <v>80562</v>
      </c>
      <c r="AF597">
        <v>19687</v>
      </c>
      <c r="AG597" t="s">
        <v>48</v>
      </c>
      <c r="AH597" t="s">
        <v>49</v>
      </c>
      <c r="AI597" t="s">
        <v>48</v>
      </c>
      <c r="AJ597" t="s">
        <v>49</v>
      </c>
      <c r="AK597">
        <v>6580</v>
      </c>
      <c r="AL597" t="s">
        <v>44</v>
      </c>
      <c r="AM597">
        <v>2</v>
      </c>
      <c r="AN597">
        <v>2</v>
      </c>
      <c r="AO597">
        <v>2024</v>
      </c>
      <c r="AP597">
        <v>4</v>
      </c>
    </row>
    <row r="598" spans="1:42" x14ac:dyDescent="0.25">
      <c r="A598">
        <v>970.54</v>
      </c>
      <c r="B598">
        <v>82672.89</v>
      </c>
      <c r="C598">
        <v>15261.7</v>
      </c>
      <c r="D598">
        <v>2486.41</v>
      </c>
      <c r="E598">
        <v>19328.34</v>
      </c>
      <c r="F598">
        <v>120719.88</v>
      </c>
      <c r="G598">
        <v>18849.3</v>
      </c>
      <c r="H598">
        <v>10521.1</v>
      </c>
      <c r="I598">
        <v>8669.7900000000009</v>
      </c>
      <c r="J598">
        <v>38040.18</v>
      </c>
      <c r="K598">
        <v>158760.06</v>
      </c>
      <c r="L598">
        <v>0</v>
      </c>
      <c r="M598">
        <v>3602.73</v>
      </c>
      <c r="N598">
        <v>0</v>
      </c>
      <c r="O598">
        <v>3845.06</v>
      </c>
      <c r="P598">
        <v>7447.79</v>
      </c>
      <c r="Q598">
        <v>0</v>
      </c>
      <c r="R598">
        <v>78.89</v>
      </c>
      <c r="S598">
        <v>923.98</v>
      </c>
      <c r="T598">
        <v>90565.39</v>
      </c>
      <c r="U598">
        <v>0</v>
      </c>
      <c r="V598">
        <v>0</v>
      </c>
      <c r="W598">
        <v>5929.02</v>
      </c>
      <c r="X598">
        <v>97497.279999999999</v>
      </c>
      <c r="Y598">
        <v>0</v>
      </c>
      <c r="Z598">
        <v>34792.31</v>
      </c>
      <c r="AA598">
        <v>7480.02</v>
      </c>
      <c r="AB598">
        <v>0</v>
      </c>
      <c r="AC598">
        <v>1377.18</v>
      </c>
      <c r="AD598">
        <v>0</v>
      </c>
      <c r="AE598">
        <v>307354.64</v>
      </c>
      <c r="AF598">
        <v>20397</v>
      </c>
      <c r="AG598" t="s">
        <v>65</v>
      </c>
      <c r="AH598" t="s">
        <v>66</v>
      </c>
      <c r="AI598" t="s">
        <v>65</v>
      </c>
      <c r="AJ598" t="s">
        <v>66</v>
      </c>
      <c r="AK598">
        <v>7028</v>
      </c>
      <c r="AL598" t="s">
        <v>44</v>
      </c>
      <c r="AM598">
        <v>2</v>
      </c>
      <c r="AN598">
        <v>2</v>
      </c>
      <c r="AO598">
        <v>2024</v>
      </c>
      <c r="AP598">
        <v>2</v>
      </c>
    </row>
    <row r="599" spans="1:42" x14ac:dyDescent="0.25">
      <c r="A599">
        <v>986.14</v>
      </c>
      <c r="B599">
        <v>216049.45</v>
      </c>
      <c r="C599">
        <v>61076.2</v>
      </c>
      <c r="D599">
        <v>64794.47</v>
      </c>
      <c r="E599">
        <v>72359</v>
      </c>
      <c r="F599">
        <v>415265.24</v>
      </c>
      <c r="G599">
        <v>34343.07</v>
      </c>
      <c r="H599">
        <v>102165.78</v>
      </c>
      <c r="I599">
        <v>32215.439999999999</v>
      </c>
      <c r="J599">
        <v>168724.29</v>
      </c>
      <c r="K599">
        <v>583989.53</v>
      </c>
      <c r="L599">
        <v>389048.43</v>
      </c>
      <c r="M599">
        <v>45372.41</v>
      </c>
      <c r="N599">
        <v>40974.42</v>
      </c>
      <c r="O599">
        <v>7242.64</v>
      </c>
      <c r="P599">
        <v>482637.9</v>
      </c>
      <c r="Q599">
        <v>4181.99</v>
      </c>
      <c r="R599">
        <v>17283.91</v>
      </c>
      <c r="S599">
        <v>3762.03</v>
      </c>
      <c r="T599">
        <v>80835.259999999995</v>
      </c>
      <c r="U599">
        <v>6530.29</v>
      </c>
      <c r="V599">
        <v>0</v>
      </c>
      <c r="W599">
        <v>143347.01</v>
      </c>
      <c r="X599">
        <v>255940.49</v>
      </c>
      <c r="Y599">
        <v>35347.599999999999</v>
      </c>
      <c r="Z599">
        <v>128093.14</v>
      </c>
      <c r="AA599">
        <v>63041.06</v>
      </c>
      <c r="AB599">
        <v>3555.96</v>
      </c>
      <c r="AC599">
        <v>24757.599999999999</v>
      </c>
      <c r="AD599">
        <v>4209.4399999999996</v>
      </c>
      <c r="AE599">
        <v>1581572.71</v>
      </c>
      <c r="AF599">
        <v>19805</v>
      </c>
      <c r="AG599" t="s">
        <v>105</v>
      </c>
      <c r="AH599" t="s">
        <v>106</v>
      </c>
      <c r="AI599" t="s">
        <v>105</v>
      </c>
      <c r="AJ599" t="s">
        <v>106</v>
      </c>
      <c r="AK599">
        <v>10049</v>
      </c>
      <c r="AL599" t="s">
        <v>53</v>
      </c>
      <c r="AM599">
        <v>3</v>
      </c>
      <c r="AN599">
        <v>3</v>
      </c>
      <c r="AO599">
        <v>2024</v>
      </c>
      <c r="AP599">
        <v>1</v>
      </c>
    </row>
    <row r="600" spans="1:42" x14ac:dyDescent="0.25">
      <c r="A600">
        <v>1013.66</v>
      </c>
      <c r="B600">
        <v>3479.51</v>
      </c>
      <c r="C600">
        <v>1488.04</v>
      </c>
      <c r="D600">
        <v>850.15</v>
      </c>
      <c r="E600">
        <v>1849.9</v>
      </c>
      <c r="F600">
        <v>8681.26</v>
      </c>
      <c r="G600">
        <v>1443.8</v>
      </c>
      <c r="H600">
        <v>1635.37</v>
      </c>
      <c r="I600">
        <v>665.69</v>
      </c>
      <c r="J600">
        <v>3744.86</v>
      </c>
      <c r="K600">
        <v>12426.12</v>
      </c>
      <c r="L600">
        <v>1988.54</v>
      </c>
      <c r="M600">
        <v>2201.6999999999998</v>
      </c>
      <c r="N600">
        <v>0</v>
      </c>
      <c r="O600">
        <v>252.09</v>
      </c>
      <c r="P600">
        <v>4442.33</v>
      </c>
      <c r="Q600">
        <v>22.03</v>
      </c>
      <c r="R600">
        <v>47.1</v>
      </c>
      <c r="S600">
        <v>403.81</v>
      </c>
      <c r="T600">
        <v>3737.69</v>
      </c>
      <c r="U600">
        <v>0</v>
      </c>
      <c r="V600">
        <v>0</v>
      </c>
      <c r="W600">
        <v>3118.15</v>
      </c>
      <c r="X600">
        <v>7328.79</v>
      </c>
      <c r="Y600">
        <v>83.69</v>
      </c>
      <c r="Z600">
        <v>417.89</v>
      </c>
      <c r="AA600">
        <v>2358.3200000000002</v>
      </c>
      <c r="AB600">
        <v>0</v>
      </c>
      <c r="AC600">
        <v>858.44</v>
      </c>
      <c r="AD600">
        <v>0</v>
      </c>
      <c r="AE600">
        <v>27915.58</v>
      </c>
      <c r="AF600">
        <v>20169</v>
      </c>
      <c r="AG600" t="s">
        <v>56</v>
      </c>
      <c r="AH600" t="s">
        <v>57</v>
      </c>
      <c r="AI600" t="s">
        <v>56</v>
      </c>
      <c r="AJ600" t="s">
        <v>57</v>
      </c>
      <c r="AK600">
        <v>6699</v>
      </c>
      <c r="AL600" t="s">
        <v>44</v>
      </c>
      <c r="AM600">
        <v>2</v>
      </c>
      <c r="AN600">
        <v>2</v>
      </c>
      <c r="AO600">
        <v>2024</v>
      </c>
      <c r="AP600">
        <v>2</v>
      </c>
    </row>
    <row r="601" spans="1:42" x14ac:dyDescent="0.25">
      <c r="A601">
        <v>1059.94</v>
      </c>
      <c r="B601">
        <v>7051.35</v>
      </c>
      <c r="C601">
        <v>1815.21</v>
      </c>
      <c r="D601">
        <v>511.14</v>
      </c>
      <c r="E601">
        <v>1833.57</v>
      </c>
      <c r="F601">
        <v>12271.22</v>
      </c>
      <c r="G601">
        <v>2272.44</v>
      </c>
      <c r="H601">
        <v>2136.65</v>
      </c>
      <c r="I601">
        <v>1854.34</v>
      </c>
      <c r="J601">
        <v>6263.43</v>
      </c>
      <c r="K601">
        <v>18534.64</v>
      </c>
      <c r="L601">
        <v>24028.68</v>
      </c>
      <c r="M601">
        <v>295.18</v>
      </c>
      <c r="N601">
        <v>-0.49</v>
      </c>
      <c r="O601">
        <v>680.51</v>
      </c>
      <c r="P601">
        <v>25003.88</v>
      </c>
      <c r="Q601">
        <v>120.25</v>
      </c>
      <c r="R601">
        <v>1472.93</v>
      </c>
      <c r="S601">
        <v>142.22</v>
      </c>
      <c r="T601">
        <v>1700.1</v>
      </c>
      <c r="U601">
        <v>196.43</v>
      </c>
      <c r="V601">
        <v>0</v>
      </c>
      <c r="W601">
        <v>11373.61</v>
      </c>
      <c r="X601">
        <v>15005.54</v>
      </c>
      <c r="Y601">
        <v>2494.7399999999998</v>
      </c>
      <c r="Z601">
        <v>18345.88</v>
      </c>
      <c r="AA601">
        <v>847.6</v>
      </c>
      <c r="AB601">
        <v>5.57</v>
      </c>
      <c r="AC601">
        <v>-4480.9799999999996</v>
      </c>
      <c r="AD601">
        <v>0</v>
      </c>
      <c r="AE601">
        <v>75756.86</v>
      </c>
      <c r="AF601">
        <v>20436</v>
      </c>
      <c r="AG601" t="s">
        <v>122</v>
      </c>
      <c r="AH601" t="s">
        <v>123</v>
      </c>
      <c r="AI601" t="s">
        <v>122</v>
      </c>
      <c r="AJ601" t="s">
        <v>123</v>
      </c>
      <c r="AK601">
        <v>16461</v>
      </c>
      <c r="AL601" t="s">
        <v>50</v>
      </c>
      <c r="AM601">
        <v>3</v>
      </c>
      <c r="AN601">
        <v>3</v>
      </c>
      <c r="AO601">
        <v>2024</v>
      </c>
      <c r="AP601">
        <v>1</v>
      </c>
    </row>
    <row r="602" spans="1:42" x14ac:dyDescent="0.25">
      <c r="A602">
        <v>1060.92</v>
      </c>
      <c r="B602">
        <v>3166.33</v>
      </c>
      <c r="C602">
        <v>502.05</v>
      </c>
      <c r="D602">
        <v>3043.56</v>
      </c>
      <c r="E602">
        <v>523.83000000000004</v>
      </c>
      <c r="F602">
        <v>8296.7099999999991</v>
      </c>
      <c r="G602">
        <v>867.74</v>
      </c>
      <c r="H602">
        <v>877.14</v>
      </c>
      <c r="I602">
        <v>642.01</v>
      </c>
      <c r="J602">
        <v>2386.88</v>
      </c>
      <c r="K602">
        <v>10683.59</v>
      </c>
      <c r="L602">
        <v>0</v>
      </c>
      <c r="M602">
        <v>514.26</v>
      </c>
      <c r="N602">
        <v>0</v>
      </c>
      <c r="O602">
        <v>100.62</v>
      </c>
      <c r="P602">
        <v>614.88</v>
      </c>
      <c r="Q602">
        <v>18.559999999999999</v>
      </c>
      <c r="R602">
        <v>10.48</v>
      </c>
      <c r="S602">
        <v>42.67</v>
      </c>
      <c r="T602">
        <v>2238.19</v>
      </c>
      <c r="U602">
        <v>0</v>
      </c>
      <c r="V602">
        <v>0</v>
      </c>
      <c r="W602">
        <v>352.58</v>
      </c>
      <c r="X602">
        <v>2662.48</v>
      </c>
      <c r="Y602">
        <v>0</v>
      </c>
      <c r="Z602">
        <v>1688.92</v>
      </c>
      <c r="AA602">
        <v>97.73</v>
      </c>
      <c r="AB602">
        <v>0</v>
      </c>
      <c r="AC602">
        <v>57.01</v>
      </c>
      <c r="AD602">
        <v>0.37</v>
      </c>
      <c r="AE602">
        <v>15804.98</v>
      </c>
      <c r="AF602">
        <v>20398</v>
      </c>
      <c r="AG602" t="s">
        <v>130</v>
      </c>
      <c r="AH602" t="s">
        <v>131</v>
      </c>
      <c r="AI602" t="s">
        <v>130</v>
      </c>
      <c r="AJ602" t="s">
        <v>131</v>
      </c>
      <c r="AK602">
        <v>16820</v>
      </c>
      <c r="AL602" t="s">
        <v>50</v>
      </c>
      <c r="AM602">
        <v>3</v>
      </c>
      <c r="AN602">
        <v>3</v>
      </c>
      <c r="AO602">
        <v>2024</v>
      </c>
      <c r="AP602">
        <v>2</v>
      </c>
    </row>
    <row r="603" spans="1:42" x14ac:dyDescent="0.25">
      <c r="A603">
        <v>1065.56</v>
      </c>
      <c r="B603">
        <v>3034.7</v>
      </c>
      <c r="C603">
        <v>508.88</v>
      </c>
      <c r="D603">
        <v>3037.47</v>
      </c>
      <c r="E603">
        <v>511.41</v>
      </c>
      <c r="F603">
        <v>8158.02</v>
      </c>
      <c r="G603">
        <v>802.16</v>
      </c>
      <c r="H603">
        <v>950.84</v>
      </c>
      <c r="I603">
        <v>571.46</v>
      </c>
      <c r="J603">
        <v>2324.46</v>
      </c>
      <c r="K603">
        <v>10482.48</v>
      </c>
      <c r="L603">
        <v>0</v>
      </c>
      <c r="M603">
        <v>454.88</v>
      </c>
      <c r="N603">
        <v>0</v>
      </c>
      <c r="O603">
        <v>87.52</v>
      </c>
      <c r="P603">
        <v>542.4</v>
      </c>
      <c r="Q603">
        <v>17.34</v>
      </c>
      <c r="R603">
        <v>10.01</v>
      </c>
      <c r="S603">
        <v>44.91</v>
      </c>
      <c r="T603">
        <v>1980.07</v>
      </c>
      <c r="U603">
        <v>0</v>
      </c>
      <c r="V603">
        <v>0</v>
      </c>
      <c r="W603">
        <v>388.46</v>
      </c>
      <c r="X603">
        <v>2440.8000000000002</v>
      </c>
      <c r="Y603">
        <v>0</v>
      </c>
      <c r="Z603">
        <v>1753.52</v>
      </c>
      <c r="AA603">
        <v>102.54</v>
      </c>
      <c r="AB603">
        <v>0</v>
      </c>
      <c r="AC603">
        <v>44.53</v>
      </c>
      <c r="AD603">
        <v>0.26</v>
      </c>
      <c r="AE603">
        <v>15366.53</v>
      </c>
      <c r="AF603">
        <v>20398</v>
      </c>
      <c r="AG603" t="s">
        <v>130</v>
      </c>
      <c r="AH603" t="s">
        <v>131</v>
      </c>
      <c r="AI603" t="s">
        <v>130</v>
      </c>
      <c r="AJ603" t="s">
        <v>131</v>
      </c>
      <c r="AK603">
        <v>16820</v>
      </c>
      <c r="AL603" t="s">
        <v>50</v>
      </c>
      <c r="AM603">
        <v>3</v>
      </c>
      <c r="AN603">
        <v>3</v>
      </c>
      <c r="AO603">
        <v>2024</v>
      </c>
      <c r="AP603">
        <v>3</v>
      </c>
    </row>
    <row r="604" spans="1:42" x14ac:dyDescent="0.25">
      <c r="A604">
        <v>1068.99</v>
      </c>
      <c r="B604">
        <v>21656.78</v>
      </c>
      <c r="C604">
        <v>2316.39</v>
      </c>
      <c r="D604">
        <v>5502.65</v>
      </c>
      <c r="E604">
        <v>7464</v>
      </c>
      <c r="F604">
        <v>38008.800000000003</v>
      </c>
      <c r="G604">
        <v>3841.19</v>
      </c>
      <c r="H604">
        <v>9358.7099999999991</v>
      </c>
      <c r="I604">
        <v>1619.8</v>
      </c>
      <c r="J604">
        <v>14819.7</v>
      </c>
      <c r="K604">
        <v>52828.5</v>
      </c>
      <c r="L604">
        <v>41764.76</v>
      </c>
      <c r="M604">
        <v>2026.22</v>
      </c>
      <c r="N604">
        <v>5450</v>
      </c>
      <c r="O604">
        <v>878.22</v>
      </c>
      <c r="P604">
        <v>50119.199999999997</v>
      </c>
      <c r="Q604">
        <v>2893.23</v>
      </c>
      <c r="R604">
        <v>770.98</v>
      </c>
      <c r="S604">
        <v>552.79</v>
      </c>
      <c r="T604">
        <v>11389.17</v>
      </c>
      <c r="U604">
        <v>511.03</v>
      </c>
      <c r="V604">
        <v>307.74</v>
      </c>
      <c r="W604">
        <v>20567.02</v>
      </c>
      <c r="X604">
        <v>36991.96</v>
      </c>
      <c r="Y604">
        <v>3162.28</v>
      </c>
      <c r="Z604">
        <v>14899.88</v>
      </c>
      <c r="AA604">
        <v>6968.89</v>
      </c>
      <c r="AB604">
        <v>31.56</v>
      </c>
      <c r="AC604">
        <v>19501.97</v>
      </c>
      <c r="AD604">
        <v>365.14</v>
      </c>
      <c r="AE604">
        <v>184869.36</v>
      </c>
      <c r="AF604">
        <v>19690</v>
      </c>
      <c r="AG604" t="s">
        <v>126</v>
      </c>
      <c r="AH604" t="s">
        <v>127</v>
      </c>
      <c r="AI604" t="s">
        <v>126</v>
      </c>
      <c r="AJ604" t="s">
        <v>127</v>
      </c>
      <c r="AK604">
        <v>15375</v>
      </c>
      <c r="AL604" t="s">
        <v>64</v>
      </c>
      <c r="AM604">
        <v>3</v>
      </c>
      <c r="AN604">
        <v>3</v>
      </c>
      <c r="AO604">
        <v>2024</v>
      </c>
      <c r="AP604">
        <v>3</v>
      </c>
    </row>
    <row r="605" spans="1:42" x14ac:dyDescent="0.25">
      <c r="A605">
        <v>1069.95</v>
      </c>
      <c r="B605">
        <v>3746.63</v>
      </c>
      <c r="C605">
        <v>1551.71</v>
      </c>
      <c r="D605">
        <v>888.01</v>
      </c>
      <c r="E605">
        <v>1709.13</v>
      </c>
      <c r="F605">
        <v>8965.42</v>
      </c>
      <c r="G605">
        <v>1324.72</v>
      </c>
      <c r="H605">
        <v>1358.02</v>
      </c>
      <c r="I605">
        <v>567.17999999999995</v>
      </c>
      <c r="J605">
        <v>3249.92</v>
      </c>
      <c r="K605">
        <v>12215.34</v>
      </c>
      <c r="L605">
        <v>2330.0100000000002</v>
      </c>
      <c r="M605">
        <v>2206.0700000000002</v>
      </c>
      <c r="N605">
        <v>0</v>
      </c>
      <c r="O605">
        <v>179.17</v>
      </c>
      <c r="P605">
        <v>4715.25</v>
      </c>
      <c r="Q605">
        <v>17.95</v>
      </c>
      <c r="R605">
        <v>51.28</v>
      </c>
      <c r="S605">
        <v>375.48</v>
      </c>
      <c r="T605">
        <v>5233.26</v>
      </c>
      <c r="U605">
        <v>0</v>
      </c>
      <c r="V605">
        <v>0</v>
      </c>
      <c r="W605">
        <v>3089.83</v>
      </c>
      <c r="X605">
        <v>8767.7900000000009</v>
      </c>
      <c r="Y605">
        <v>99.41</v>
      </c>
      <c r="Z605">
        <v>432.4</v>
      </c>
      <c r="AA605">
        <v>2574.62</v>
      </c>
      <c r="AB605">
        <v>0</v>
      </c>
      <c r="AC605">
        <v>560.24</v>
      </c>
      <c r="AD605">
        <v>0</v>
      </c>
      <c r="AE605">
        <v>29365.040000000001</v>
      </c>
      <c r="AF605">
        <v>20169</v>
      </c>
      <c r="AG605" t="s">
        <v>56</v>
      </c>
      <c r="AH605" t="s">
        <v>57</v>
      </c>
      <c r="AI605" t="s">
        <v>56</v>
      </c>
      <c r="AJ605" t="s">
        <v>57</v>
      </c>
      <c r="AK605">
        <v>6699</v>
      </c>
      <c r="AL605" t="s">
        <v>44</v>
      </c>
      <c r="AM605">
        <v>2</v>
      </c>
      <c r="AN605">
        <v>2</v>
      </c>
      <c r="AO605">
        <v>2024</v>
      </c>
      <c r="AP605">
        <v>3</v>
      </c>
    </row>
    <row r="606" spans="1:42" x14ac:dyDescent="0.25">
      <c r="A606">
        <v>1076.49</v>
      </c>
      <c r="B606">
        <v>3722.61</v>
      </c>
      <c r="C606">
        <v>1573.18</v>
      </c>
      <c r="D606">
        <v>860.73</v>
      </c>
      <c r="E606">
        <v>1730.69</v>
      </c>
      <c r="F606">
        <v>8963.7000000000007</v>
      </c>
      <c r="G606">
        <v>1485.67</v>
      </c>
      <c r="H606">
        <v>1564.09</v>
      </c>
      <c r="I606">
        <v>637.78</v>
      </c>
      <c r="J606">
        <v>3687.54</v>
      </c>
      <c r="K606">
        <v>12651.24</v>
      </c>
      <c r="L606">
        <v>2517.61</v>
      </c>
      <c r="M606">
        <v>1372.38</v>
      </c>
      <c r="N606">
        <v>0</v>
      </c>
      <c r="O606">
        <v>260.61</v>
      </c>
      <c r="P606">
        <v>4150.6000000000004</v>
      </c>
      <c r="Q606">
        <v>34.31</v>
      </c>
      <c r="R606">
        <v>51.1</v>
      </c>
      <c r="S606">
        <v>390.89</v>
      </c>
      <c r="T606">
        <v>5086.34</v>
      </c>
      <c r="U606">
        <v>0</v>
      </c>
      <c r="V606">
        <v>0</v>
      </c>
      <c r="W606">
        <v>3213.13</v>
      </c>
      <c r="X606">
        <v>8775.76</v>
      </c>
      <c r="Y606">
        <v>88.49</v>
      </c>
      <c r="Z606">
        <v>460.34</v>
      </c>
      <c r="AA606">
        <v>2539.9299999999998</v>
      </c>
      <c r="AB606">
        <v>0</v>
      </c>
      <c r="AC606">
        <v>455.75</v>
      </c>
      <c r="AD606">
        <v>0</v>
      </c>
      <c r="AE606">
        <v>29122.11</v>
      </c>
      <c r="AF606">
        <v>20169</v>
      </c>
      <c r="AG606" t="s">
        <v>56</v>
      </c>
      <c r="AH606" t="s">
        <v>57</v>
      </c>
      <c r="AI606" t="s">
        <v>56</v>
      </c>
      <c r="AJ606" t="s">
        <v>57</v>
      </c>
      <c r="AK606">
        <v>6699</v>
      </c>
      <c r="AL606" t="s">
        <v>44</v>
      </c>
      <c r="AM606">
        <v>2</v>
      </c>
      <c r="AN606">
        <v>2</v>
      </c>
      <c r="AO606">
        <v>2024</v>
      </c>
      <c r="AP606">
        <v>1</v>
      </c>
    </row>
    <row r="607" spans="1:42" x14ac:dyDescent="0.25">
      <c r="A607">
        <v>1088.58</v>
      </c>
      <c r="B607">
        <v>94500.65</v>
      </c>
      <c r="C607">
        <v>8473.15</v>
      </c>
      <c r="D607">
        <v>22749.27</v>
      </c>
      <c r="E607">
        <v>23024.19</v>
      </c>
      <c r="F607">
        <v>149835.82999999999</v>
      </c>
      <c r="G607">
        <v>13803.53</v>
      </c>
      <c r="H607">
        <v>38593.31</v>
      </c>
      <c r="I607">
        <v>9847.51</v>
      </c>
      <c r="J607">
        <v>62244.36</v>
      </c>
      <c r="K607">
        <v>212080.19</v>
      </c>
      <c r="L607">
        <v>137845.41</v>
      </c>
      <c r="M607">
        <v>6246.99</v>
      </c>
      <c r="N607">
        <v>8337.01</v>
      </c>
      <c r="O607">
        <v>2621.3000000000002</v>
      </c>
      <c r="P607">
        <v>155050.70000000001</v>
      </c>
      <c r="Q607">
        <v>4976.95</v>
      </c>
      <c r="R607">
        <v>672.8</v>
      </c>
      <c r="S607">
        <v>1979.29</v>
      </c>
      <c r="T607">
        <v>45868.55</v>
      </c>
      <c r="U607">
        <v>1865.98</v>
      </c>
      <c r="V607">
        <v>0</v>
      </c>
      <c r="W607">
        <v>72287.14</v>
      </c>
      <c r="X607">
        <v>127650.71</v>
      </c>
      <c r="Y607">
        <v>12625.54</v>
      </c>
      <c r="Z607">
        <v>20728.71</v>
      </c>
      <c r="AA607">
        <v>38839.760000000002</v>
      </c>
      <c r="AB607">
        <v>4384.8</v>
      </c>
      <c r="AC607">
        <v>5670.75</v>
      </c>
      <c r="AD607">
        <v>148.71</v>
      </c>
      <c r="AE607">
        <v>577179.86</v>
      </c>
      <c r="AF607">
        <v>20409</v>
      </c>
      <c r="AG607" t="s">
        <v>95</v>
      </c>
      <c r="AH607" t="s">
        <v>96</v>
      </c>
      <c r="AI607" t="s">
        <v>95</v>
      </c>
      <c r="AJ607" t="s">
        <v>96</v>
      </c>
      <c r="AK607">
        <v>16673</v>
      </c>
      <c r="AL607" t="s">
        <v>50</v>
      </c>
      <c r="AM607">
        <v>3</v>
      </c>
      <c r="AN607">
        <v>3</v>
      </c>
      <c r="AO607">
        <v>2024</v>
      </c>
      <c r="AP607">
        <v>4</v>
      </c>
    </row>
    <row r="608" spans="1:42" x14ac:dyDescent="0.25">
      <c r="A608">
        <v>1111.9100000000001</v>
      </c>
      <c r="B608">
        <v>91250.18</v>
      </c>
      <c r="C608">
        <v>13287.1</v>
      </c>
      <c r="D608">
        <v>2794.92</v>
      </c>
      <c r="E608">
        <v>17279.87</v>
      </c>
      <c r="F608">
        <v>125723.98</v>
      </c>
      <c r="G608">
        <v>14901.33</v>
      </c>
      <c r="H608">
        <v>13470.86</v>
      </c>
      <c r="I608">
        <v>6802.31</v>
      </c>
      <c r="J608">
        <v>35174.49</v>
      </c>
      <c r="K608">
        <v>160898.47</v>
      </c>
      <c r="L608">
        <v>0</v>
      </c>
      <c r="M608">
        <v>5265.34</v>
      </c>
      <c r="N608">
        <v>0</v>
      </c>
      <c r="O608">
        <v>3435.94</v>
      </c>
      <c r="P608">
        <v>8701.2800000000007</v>
      </c>
      <c r="Q608">
        <v>0</v>
      </c>
      <c r="R608">
        <v>78.510000000000005</v>
      </c>
      <c r="S608">
        <v>926.42</v>
      </c>
      <c r="T608">
        <v>74486.679999999993</v>
      </c>
      <c r="U608">
        <v>0</v>
      </c>
      <c r="V608">
        <v>0</v>
      </c>
      <c r="W608">
        <v>8343.7099999999991</v>
      </c>
      <c r="X608">
        <v>83835.31</v>
      </c>
      <c r="Y608">
        <v>0</v>
      </c>
      <c r="Z608">
        <v>35704.65</v>
      </c>
      <c r="AA608">
        <v>7194</v>
      </c>
      <c r="AB608">
        <v>0</v>
      </c>
      <c r="AC608">
        <v>2666.77</v>
      </c>
      <c r="AD608">
        <v>0</v>
      </c>
      <c r="AE608">
        <v>299000.49</v>
      </c>
      <c r="AF608">
        <v>20397</v>
      </c>
      <c r="AG608" t="s">
        <v>65</v>
      </c>
      <c r="AH608" t="s">
        <v>66</v>
      </c>
      <c r="AI608" t="s">
        <v>65</v>
      </c>
      <c r="AJ608" t="s">
        <v>66</v>
      </c>
      <c r="AK608">
        <v>7028</v>
      </c>
      <c r="AL608" t="s">
        <v>44</v>
      </c>
      <c r="AM608">
        <v>2</v>
      </c>
      <c r="AN608">
        <v>2</v>
      </c>
      <c r="AO608">
        <v>2024</v>
      </c>
      <c r="AP608">
        <v>4</v>
      </c>
    </row>
    <row r="609" spans="1:42" x14ac:dyDescent="0.25">
      <c r="A609">
        <v>1150.53</v>
      </c>
      <c r="B609">
        <v>3722.19</v>
      </c>
      <c r="C609">
        <v>547.11</v>
      </c>
      <c r="D609">
        <v>3936.85</v>
      </c>
      <c r="E609">
        <v>652.76</v>
      </c>
      <c r="F609">
        <v>10009.43</v>
      </c>
      <c r="G609">
        <v>999.92</v>
      </c>
      <c r="H609">
        <v>1082.1500000000001</v>
      </c>
      <c r="I609">
        <v>691.95</v>
      </c>
      <c r="J609">
        <v>2774.01</v>
      </c>
      <c r="K609">
        <v>12783.45</v>
      </c>
      <c r="L609">
        <v>0</v>
      </c>
      <c r="M609">
        <v>629.51</v>
      </c>
      <c r="N609">
        <v>0</v>
      </c>
      <c r="O609">
        <v>133.5</v>
      </c>
      <c r="P609">
        <v>763</v>
      </c>
      <c r="Q609">
        <v>19.62</v>
      </c>
      <c r="R609">
        <v>11.97</v>
      </c>
      <c r="S609">
        <v>52.95</v>
      </c>
      <c r="T609">
        <v>2460.39</v>
      </c>
      <c r="U609">
        <v>0</v>
      </c>
      <c r="V609">
        <v>0</v>
      </c>
      <c r="W609">
        <v>467.07</v>
      </c>
      <c r="X609">
        <v>3012</v>
      </c>
      <c r="Y609">
        <v>0</v>
      </c>
      <c r="Z609">
        <v>2156.19</v>
      </c>
      <c r="AA609">
        <v>134.65</v>
      </c>
      <c r="AB609">
        <v>0</v>
      </c>
      <c r="AC609">
        <v>67.63</v>
      </c>
      <c r="AD609">
        <v>0.41</v>
      </c>
      <c r="AE609">
        <v>18917.32</v>
      </c>
      <c r="AF609">
        <v>20398</v>
      </c>
      <c r="AG609" t="s">
        <v>130</v>
      </c>
      <c r="AH609" t="s">
        <v>131</v>
      </c>
      <c r="AI609" t="s">
        <v>130</v>
      </c>
      <c r="AJ609" t="s">
        <v>131</v>
      </c>
      <c r="AK609">
        <v>16820</v>
      </c>
      <c r="AL609" t="s">
        <v>50</v>
      </c>
      <c r="AM609">
        <v>3</v>
      </c>
      <c r="AN609">
        <v>3</v>
      </c>
      <c r="AO609">
        <v>2024</v>
      </c>
      <c r="AP609">
        <v>4</v>
      </c>
    </row>
    <row r="610" spans="1:42" x14ac:dyDescent="0.25">
      <c r="A610">
        <v>1158.23</v>
      </c>
      <c r="B610">
        <v>3638.27</v>
      </c>
      <c r="C610">
        <v>1559.82</v>
      </c>
      <c r="D610">
        <v>845.71</v>
      </c>
      <c r="E610">
        <v>1843.45</v>
      </c>
      <c r="F610">
        <v>9045.48</v>
      </c>
      <c r="G610">
        <v>946.07</v>
      </c>
      <c r="H610">
        <v>3658.08</v>
      </c>
      <c r="I610">
        <v>627.70000000000005</v>
      </c>
      <c r="J610">
        <v>5231.8500000000004</v>
      </c>
      <c r="K610">
        <v>14277.33</v>
      </c>
      <c r="L610">
        <v>2433.75</v>
      </c>
      <c r="M610">
        <v>906.7</v>
      </c>
      <c r="N610">
        <v>0</v>
      </c>
      <c r="O610">
        <v>355.59</v>
      </c>
      <c r="P610">
        <v>3696.03</v>
      </c>
      <c r="Q610">
        <v>59.19</v>
      </c>
      <c r="R610">
        <v>46.34</v>
      </c>
      <c r="S610">
        <v>101.73</v>
      </c>
      <c r="T610">
        <v>5687.75</v>
      </c>
      <c r="U610">
        <v>0</v>
      </c>
      <c r="V610">
        <v>0</v>
      </c>
      <c r="W610">
        <v>3016.08</v>
      </c>
      <c r="X610">
        <v>8911.08</v>
      </c>
      <c r="Y610">
        <v>82.62</v>
      </c>
      <c r="Z610">
        <v>426.47</v>
      </c>
      <c r="AA610">
        <v>3783.19</v>
      </c>
      <c r="AB610">
        <v>0</v>
      </c>
      <c r="AC610">
        <v>496.91</v>
      </c>
      <c r="AD610">
        <v>0</v>
      </c>
      <c r="AE610">
        <v>31673.63</v>
      </c>
      <c r="AF610">
        <v>20169</v>
      </c>
      <c r="AG610" t="s">
        <v>56</v>
      </c>
      <c r="AH610" t="s">
        <v>57</v>
      </c>
      <c r="AI610" t="s">
        <v>56</v>
      </c>
      <c r="AJ610" t="s">
        <v>57</v>
      </c>
      <c r="AK610">
        <v>6699</v>
      </c>
      <c r="AL610" t="s">
        <v>44</v>
      </c>
      <c r="AM610">
        <v>2</v>
      </c>
      <c r="AN610">
        <v>2</v>
      </c>
      <c r="AO610">
        <v>2024</v>
      </c>
      <c r="AP610">
        <v>4</v>
      </c>
    </row>
    <row r="611" spans="1:42" x14ac:dyDescent="0.25">
      <c r="A611">
        <v>1184.0899999999999</v>
      </c>
      <c r="B611">
        <v>7141.44</v>
      </c>
      <c r="C611">
        <v>949.93</v>
      </c>
      <c r="D611">
        <v>2160.2199999999998</v>
      </c>
      <c r="E611">
        <v>870.33</v>
      </c>
      <c r="F611">
        <v>12306</v>
      </c>
      <c r="G611">
        <v>1214.48</v>
      </c>
      <c r="H611">
        <v>2693.51</v>
      </c>
      <c r="I611">
        <v>978</v>
      </c>
      <c r="J611">
        <v>4885.99</v>
      </c>
      <c r="K611">
        <v>17192</v>
      </c>
      <c r="L611">
        <v>13583.7</v>
      </c>
      <c r="M611">
        <v>1134.82</v>
      </c>
      <c r="N611">
        <v>660.2</v>
      </c>
      <c r="O611">
        <v>137.76</v>
      </c>
      <c r="P611">
        <v>15516.47</v>
      </c>
      <c r="Q611">
        <v>279.29000000000002</v>
      </c>
      <c r="R611">
        <v>548.46</v>
      </c>
      <c r="S611">
        <v>359.78</v>
      </c>
      <c r="T611">
        <v>1269.19</v>
      </c>
      <c r="U611">
        <v>276.02999999999997</v>
      </c>
      <c r="V611">
        <v>0</v>
      </c>
      <c r="W611">
        <v>5135.49</v>
      </c>
      <c r="X611">
        <v>7868.24</v>
      </c>
      <c r="Y611">
        <v>414.91</v>
      </c>
      <c r="Z611">
        <v>1183.94</v>
      </c>
      <c r="AA611">
        <v>4797.95</v>
      </c>
      <c r="AB611">
        <v>1836.64</v>
      </c>
      <c r="AC611">
        <v>1077.3900000000001</v>
      </c>
      <c r="AD611">
        <v>63.78</v>
      </c>
      <c r="AE611">
        <v>49951.3</v>
      </c>
      <c r="AF611">
        <v>20422</v>
      </c>
      <c r="AG611" t="s">
        <v>93</v>
      </c>
      <c r="AH611" t="s">
        <v>94</v>
      </c>
      <c r="AI611" t="s">
        <v>93</v>
      </c>
      <c r="AJ611" t="s">
        <v>94</v>
      </c>
      <c r="AK611">
        <v>16795</v>
      </c>
      <c r="AL611" t="s">
        <v>50</v>
      </c>
      <c r="AM611">
        <v>3</v>
      </c>
      <c r="AN611">
        <v>3</v>
      </c>
      <c r="AO611">
        <v>2024</v>
      </c>
      <c r="AP611">
        <v>1</v>
      </c>
    </row>
    <row r="612" spans="1:42" x14ac:dyDescent="0.25">
      <c r="A612">
        <v>1185.04</v>
      </c>
      <c r="B612">
        <v>15366.93</v>
      </c>
      <c r="C612">
        <v>5243.21</v>
      </c>
      <c r="D612">
        <v>1319.89</v>
      </c>
      <c r="E612">
        <v>4402.28</v>
      </c>
      <c r="F612">
        <v>27517.34</v>
      </c>
      <c r="G612">
        <v>4299.91</v>
      </c>
      <c r="H612">
        <v>2467.67</v>
      </c>
      <c r="I612">
        <v>2560.84</v>
      </c>
      <c r="J612">
        <v>9328.42</v>
      </c>
      <c r="K612">
        <v>36845.760000000002</v>
      </c>
      <c r="L612">
        <v>313.17</v>
      </c>
      <c r="M612">
        <v>9554.7000000000007</v>
      </c>
      <c r="N612">
        <v>0</v>
      </c>
      <c r="O612">
        <v>729.57</v>
      </c>
      <c r="P612">
        <v>10597.43</v>
      </c>
      <c r="Q612">
        <v>48.49</v>
      </c>
      <c r="R612">
        <v>-0.2</v>
      </c>
      <c r="S612">
        <v>900.16</v>
      </c>
      <c r="T612">
        <v>6620.24</v>
      </c>
      <c r="U612">
        <v>0</v>
      </c>
      <c r="V612">
        <v>0</v>
      </c>
      <c r="W612">
        <v>1554.28</v>
      </c>
      <c r="X612">
        <v>9122.98</v>
      </c>
      <c r="Y612">
        <v>2.09</v>
      </c>
      <c r="Z612">
        <v>712.73</v>
      </c>
      <c r="AA612">
        <v>844.16</v>
      </c>
      <c r="AB612">
        <v>0</v>
      </c>
      <c r="AC612">
        <v>756.88</v>
      </c>
      <c r="AD612">
        <v>0</v>
      </c>
      <c r="AE612">
        <v>58882.02</v>
      </c>
      <c r="AF612">
        <v>20445</v>
      </c>
      <c r="AG612" t="s">
        <v>73</v>
      </c>
      <c r="AH612" t="s">
        <v>74</v>
      </c>
      <c r="AI612" t="s">
        <v>73</v>
      </c>
      <c r="AJ612" t="s">
        <v>74</v>
      </c>
      <c r="AK612">
        <v>6944</v>
      </c>
      <c r="AL612" t="s">
        <v>44</v>
      </c>
      <c r="AM612">
        <v>2</v>
      </c>
      <c r="AN612">
        <v>2</v>
      </c>
      <c r="AO612">
        <v>2024</v>
      </c>
      <c r="AP612">
        <v>3</v>
      </c>
    </row>
    <row r="613" spans="1:42" x14ac:dyDescent="0.25">
      <c r="A613">
        <v>1188.53</v>
      </c>
      <c r="B613">
        <v>228270.31</v>
      </c>
      <c r="C613">
        <v>62316.18</v>
      </c>
      <c r="D613">
        <v>65519.09</v>
      </c>
      <c r="E613">
        <v>69927.89</v>
      </c>
      <c r="F613">
        <v>427221.99</v>
      </c>
      <c r="G613">
        <v>36536.370000000003</v>
      </c>
      <c r="H613">
        <v>108064.85</v>
      </c>
      <c r="I613">
        <v>25988.959999999999</v>
      </c>
      <c r="J613">
        <v>170590.17</v>
      </c>
      <c r="K613">
        <v>597812.16</v>
      </c>
      <c r="L613">
        <v>339240.63</v>
      </c>
      <c r="M613">
        <v>52840.26</v>
      </c>
      <c r="N613">
        <v>46237.15</v>
      </c>
      <c r="O613">
        <v>3061.29</v>
      </c>
      <c r="P613">
        <v>441379.33</v>
      </c>
      <c r="Q613">
        <v>4280.38</v>
      </c>
      <c r="R613">
        <v>18527.75</v>
      </c>
      <c r="S613">
        <v>3091.26</v>
      </c>
      <c r="T613">
        <v>82199.34</v>
      </c>
      <c r="U613">
        <v>7531.98</v>
      </c>
      <c r="V613">
        <v>0</v>
      </c>
      <c r="W613">
        <v>152890.92000000001</v>
      </c>
      <c r="X613">
        <v>268521.63</v>
      </c>
      <c r="Y613">
        <v>40857.61</v>
      </c>
      <c r="Z613">
        <v>122397.67</v>
      </c>
      <c r="AA613">
        <v>63208.58</v>
      </c>
      <c r="AB613">
        <v>3848.98</v>
      </c>
      <c r="AC613">
        <v>19801.91</v>
      </c>
      <c r="AD613">
        <v>5524.6</v>
      </c>
      <c r="AE613">
        <v>1563352.48</v>
      </c>
      <c r="AF613">
        <v>19805</v>
      </c>
      <c r="AG613" t="s">
        <v>105</v>
      </c>
      <c r="AH613" t="s">
        <v>106</v>
      </c>
      <c r="AI613" t="s">
        <v>105</v>
      </c>
      <c r="AJ613" t="s">
        <v>106</v>
      </c>
      <c r="AK613">
        <v>10050</v>
      </c>
      <c r="AL613" t="s">
        <v>50</v>
      </c>
      <c r="AM613">
        <v>3</v>
      </c>
      <c r="AN613">
        <v>3</v>
      </c>
      <c r="AO613">
        <v>2024</v>
      </c>
      <c r="AP613">
        <v>2</v>
      </c>
    </row>
    <row r="614" spans="1:42" x14ac:dyDescent="0.25">
      <c r="A614">
        <v>1209.1400000000001</v>
      </c>
      <c r="B614">
        <v>19474.990000000002</v>
      </c>
      <c r="C614">
        <v>11331.09</v>
      </c>
      <c r="D614">
        <v>2286.1799999999998</v>
      </c>
      <c r="E614">
        <v>1526.66</v>
      </c>
      <c r="F614">
        <v>35828.050000000003</v>
      </c>
      <c r="G614">
        <v>11400.74</v>
      </c>
      <c r="H614">
        <v>7185.72</v>
      </c>
      <c r="I614">
        <v>3143.65</v>
      </c>
      <c r="J614">
        <v>21730.11</v>
      </c>
      <c r="K614">
        <v>57558.17</v>
      </c>
      <c r="L614">
        <v>1193.48</v>
      </c>
      <c r="M614">
        <v>16211.85</v>
      </c>
      <c r="N614">
        <v>0</v>
      </c>
      <c r="O614">
        <v>660.18</v>
      </c>
      <c r="P614">
        <v>18065.52</v>
      </c>
      <c r="Q614">
        <v>0</v>
      </c>
      <c r="R614">
        <v>113.86</v>
      </c>
      <c r="S614">
        <v>364.84</v>
      </c>
      <c r="T614">
        <v>12136.99</v>
      </c>
      <c r="U614">
        <v>0</v>
      </c>
      <c r="V614">
        <v>0</v>
      </c>
      <c r="W614">
        <v>7820.16</v>
      </c>
      <c r="X614">
        <v>20435.830000000002</v>
      </c>
      <c r="Y614">
        <v>165.15</v>
      </c>
      <c r="Z614">
        <v>2279.1799999999998</v>
      </c>
      <c r="AA614">
        <v>4194.4399999999996</v>
      </c>
      <c r="AB614">
        <v>0</v>
      </c>
      <c r="AC614">
        <v>0</v>
      </c>
      <c r="AD614">
        <v>0</v>
      </c>
      <c r="AE614">
        <v>102698.29</v>
      </c>
      <c r="AF614">
        <v>19874</v>
      </c>
      <c r="AG614" t="s">
        <v>85</v>
      </c>
      <c r="AH614" t="s">
        <v>86</v>
      </c>
      <c r="AI614" t="s">
        <v>85</v>
      </c>
      <c r="AJ614" t="s">
        <v>86</v>
      </c>
      <c r="AK614">
        <v>6029</v>
      </c>
      <c r="AL614" t="s">
        <v>44</v>
      </c>
      <c r="AM614">
        <v>2</v>
      </c>
      <c r="AN614">
        <v>2</v>
      </c>
      <c r="AO614">
        <v>2024</v>
      </c>
      <c r="AP614">
        <v>1</v>
      </c>
    </row>
    <row r="615" spans="1:42" x14ac:dyDescent="0.25">
      <c r="A615">
        <v>1247.51</v>
      </c>
      <c r="B615">
        <v>273840.78000000003</v>
      </c>
      <c r="C615">
        <v>77475.19</v>
      </c>
      <c r="D615">
        <v>82216.14</v>
      </c>
      <c r="E615">
        <v>93089.8</v>
      </c>
      <c r="F615">
        <v>527869.41</v>
      </c>
      <c r="G615">
        <v>43468</v>
      </c>
      <c r="H615">
        <v>130143.67999999999</v>
      </c>
      <c r="I615">
        <v>41080.720000000001</v>
      </c>
      <c r="J615">
        <v>214692.41</v>
      </c>
      <c r="K615">
        <v>742561.82</v>
      </c>
      <c r="L615">
        <v>431915.26</v>
      </c>
      <c r="M615">
        <v>57678.18</v>
      </c>
      <c r="N615">
        <v>51754.080000000002</v>
      </c>
      <c r="O615">
        <v>9204.59</v>
      </c>
      <c r="P615">
        <v>550552.1</v>
      </c>
      <c r="Q615">
        <v>5253.3</v>
      </c>
      <c r="R615">
        <v>21854.13</v>
      </c>
      <c r="S615">
        <v>4705.45</v>
      </c>
      <c r="T615">
        <v>101974.94</v>
      </c>
      <c r="U615">
        <v>8125.06</v>
      </c>
      <c r="V615">
        <v>0</v>
      </c>
      <c r="W615">
        <v>181341.62</v>
      </c>
      <c r="X615">
        <v>323254.5</v>
      </c>
      <c r="Y615">
        <v>44685.52</v>
      </c>
      <c r="Z615">
        <v>162600.87</v>
      </c>
      <c r="AA615">
        <v>79952.78</v>
      </c>
      <c r="AB615">
        <v>4504.66</v>
      </c>
      <c r="AC615">
        <v>32651.15</v>
      </c>
      <c r="AD615">
        <v>5369.03</v>
      </c>
      <c r="AE615">
        <v>1946132.43</v>
      </c>
      <c r="AF615">
        <v>19805</v>
      </c>
      <c r="AG615" t="s">
        <v>105</v>
      </c>
      <c r="AH615" t="s">
        <v>106</v>
      </c>
      <c r="AI615" t="s">
        <v>105</v>
      </c>
      <c r="AJ615" t="s">
        <v>106</v>
      </c>
      <c r="AK615">
        <v>10050</v>
      </c>
      <c r="AL615" t="s">
        <v>50</v>
      </c>
      <c r="AM615">
        <v>3</v>
      </c>
      <c r="AN615">
        <v>3</v>
      </c>
      <c r="AO615">
        <v>2024</v>
      </c>
      <c r="AP615">
        <v>1</v>
      </c>
    </row>
    <row r="616" spans="1:42" x14ac:dyDescent="0.25">
      <c r="A616">
        <v>1269.6400000000001</v>
      </c>
      <c r="B616">
        <v>18919.36</v>
      </c>
      <c r="C616">
        <v>10540.65</v>
      </c>
      <c r="D616">
        <v>2095.9</v>
      </c>
      <c r="E616">
        <v>1545.4</v>
      </c>
      <c r="F616">
        <v>34370.94</v>
      </c>
      <c r="G616">
        <v>10686.38</v>
      </c>
      <c r="H616">
        <v>7316.82</v>
      </c>
      <c r="I616">
        <v>2669.12</v>
      </c>
      <c r="J616">
        <v>20672.310000000001</v>
      </c>
      <c r="K616">
        <v>55043.25</v>
      </c>
      <c r="L616">
        <v>1616.23</v>
      </c>
      <c r="M616">
        <v>16973.47</v>
      </c>
      <c r="N616">
        <v>0</v>
      </c>
      <c r="O616">
        <v>611.24</v>
      </c>
      <c r="P616">
        <v>19200.939999999999</v>
      </c>
      <c r="Q616">
        <v>0</v>
      </c>
      <c r="R616">
        <v>121.03</v>
      </c>
      <c r="S616">
        <v>300.61</v>
      </c>
      <c r="T616">
        <v>13123.81</v>
      </c>
      <c r="U616">
        <v>0</v>
      </c>
      <c r="V616">
        <v>0</v>
      </c>
      <c r="W616">
        <v>7768.52</v>
      </c>
      <c r="X616">
        <v>21313.97</v>
      </c>
      <c r="Y616">
        <v>51.34</v>
      </c>
      <c r="Z616">
        <v>3162.95</v>
      </c>
      <c r="AA616">
        <v>4234.12</v>
      </c>
      <c r="AB616">
        <v>0</v>
      </c>
      <c r="AC616">
        <v>0</v>
      </c>
      <c r="AD616">
        <v>0</v>
      </c>
      <c r="AE616">
        <v>103006.57</v>
      </c>
      <c r="AF616">
        <v>19874</v>
      </c>
      <c r="AG616" t="s">
        <v>85</v>
      </c>
      <c r="AH616" t="s">
        <v>86</v>
      </c>
      <c r="AI616" t="s">
        <v>85</v>
      </c>
      <c r="AJ616" t="s">
        <v>86</v>
      </c>
      <c r="AK616">
        <v>6029</v>
      </c>
      <c r="AL616" t="s">
        <v>44</v>
      </c>
      <c r="AM616">
        <v>2</v>
      </c>
      <c r="AN616">
        <v>2</v>
      </c>
      <c r="AO616">
        <v>2024</v>
      </c>
      <c r="AP616">
        <v>2</v>
      </c>
    </row>
    <row r="617" spans="1:42" x14ac:dyDescent="0.25">
      <c r="A617">
        <v>1280.97</v>
      </c>
      <c r="B617">
        <v>19574.72</v>
      </c>
      <c r="C617">
        <v>12918.48</v>
      </c>
      <c r="D617">
        <v>2204.39</v>
      </c>
      <c r="E617">
        <v>1689.57</v>
      </c>
      <c r="F617">
        <v>37668.14</v>
      </c>
      <c r="G617">
        <v>9493.01</v>
      </c>
      <c r="H617">
        <v>6450.66</v>
      </c>
      <c r="I617">
        <v>2042.95</v>
      </c>
      <c r="J617">
        <v>17986.62</v>
      </c>
      <c r="K617">
        <v>55654.76</v>
      </c>
      <c r="L617">
        <v>1285.6400000000001</v>
      </c>
      <c r="M617">
        <v>17809.490000000002</v>
      </c>
      <c r="N617">
        <v>0</v>
      </c>
      <c r="O617">
        <v>670.93</v>
      </c>
      <c r="P617">
        <v>19766.060000000001</v>
      </c>
      <c r="Q617">
        <v>0</v>
      </c>
      <c r="R617">
        <v>121.72</v>
      </c>
      <c r="S617">
        <v>343.19</v>
      </c>
      <c r="T617">
        <v>13824.22</v>
      </c>
      <c r="U617">
        <v>0</v>
      </c>
      <c r="V617">
        <v>0</v>
      </c>
      <c r="W617">
        <v>6966.19</v>
      </c>
      <c r="X617">
        <v>21255.31</v>
      </c>
      <c r="Y617">
        <v>129.12</v>
      </c>
      <c r="Z617">
        <v>4596.13</v>
      </c>
      <c r="AA617">
        <v>4362.2</v>
      </c>
      <c r="AB617">
        <v>0</v>
      </c>
      <c r="AC617">
        <v>0</v>
      </c>
      <c r="AD617">
        <v>0</v>
      </c>
      <c r="AE617">
        <v>105763.58</v>
      </c>
      <c r="AF617">
        <v>19874</v>
      </c>
      <c r="AG617" t="s">
        <v>85</v>
      </c>
      <c r="AH617" t="s">
        <v>86</v>
      </c>
      <c r="AI617" t="s">
        <v>85</v>
      </c>
      <c r="AJ617" t="s">
        <v>86</v>
      </c>
      <c r="AK617">
        <v>6029</v>
      </c>
      <c r="AL617" t="s">
        <v>44</v>
      </c>
      <c r="AM617">
        <v>2</v>
      </c>
      <c r="AN617">
        <v>2</v>
      </c>
      <c r="AO617">
        <v>2024</v>
      </c>
      <c r="AP617">
        <v>4</v>
      </c>
    </row>
    <row r="618" spans="1:42" x14ac:dyDescent="0.25">
      <c r="A618">
        <v>1282.56</v>
      </c>
      <c r="B618">
        <v>25587.78</v>
      </c>
      <c r="C618">
        <v>3407.48</v>
      </c>
      <c r="D618">
        <v>7780.87</v>
      </c>
      <c r="E618">
        <v>8423.67</v>
      </c>
      <c r="F618">
        <v>46482.36</v>
      </c>
      <c r="G618">
        <v>4200.1899999999996</v>
      </c>
      <c r="H618">
        <v>12129.43</v>
      </c>
      <c r="I618">
        <v>4596.3900000000003</v>
      </c>
      <c r="J618">
        <v>20926</v>
      </c>
      <c r="K618">
        <v>67408.36</v>
      </c>
      <c r="L618">
        <v>52040.52</v>
      </c>
      <c r="M618">
        <v>2057.61</v>
      </c>
      <c r="N618">
        <v>5359.37</v>
      </c>
      <c r="O618">
        <v>1477.32</v>
      </c>
      <c r="P618">
        <v>60934.82</v>
      </c>
      <c r="Q618">
        <v>2634.68</v>
      </c>
      <c r="R618">
        <v>1059.8900000000001</v>
      </c>
      <c r="S618">
        <v>654.20000000000005</v>
      </c>
      <c r="T618">
        <v>12491.91</v>
      </c>
      <c r="U618">
        <v>538.38</v>
      </c>
      <c r="V618">
        <v>317.88</v>
      </c>
      <c r="W618">
        <v>23772.12</v>
      </c>
      <c r="X618">
        <v>41469.050000000003</v>
      </c>
      <c r="Y618">
        <v>3857.34</v>
      </c>
      <c r="Z618">
        <v>17960.439999999999</v>
      </c>
      <c r="AA618">
        <v>7463.08</v>
      </c>
      <c r="AB618">
        <v>161.71</v>
      </c>
      <c r="AC618">
        <v>4684.1499999999996</v>
      </c>
      <c r="AD618">
        <v>1023.72</v>
      </c>
      <c r="AE618">
        <v>204962.67</v>
      </c>
      <c r="AF618">
        <v>19690</v>
      </c>
      <c r="AG618" t="s">
        <v>126</v>
      </c>
      <c r="AH618" t="s">
        <v>127</v>
      </c>
      <c r="AI618" t="s">
        <v>126</v>
      </c>
      <c r="AJ618" t="s">
        <v>127</v>
      </c>
      <c r="AK618">
        <v>15375</v>
      </c>
      <c r="AL618" t="s">
        <v>64</v>
      </c>
      <c r="AM618">
        <v>3</v>
      </c>
      <c r="AN618">
        <v>3</v>
      </c>
      <c r="AO618">
        <v>2024</v>
      </c>
      <c r="AP618">
        <v>1</v>
      </c>
    </row>
    <row r="619" spans="1:42" x14ac:dyDescent="0.25">
      <c r="A619">
        <v>1300.1300000000001</v>
      </c>
      <c r="B619">
        <v>23671.43</v>
      </c>
      <c r="C619">
        <v>2679.34</v>
      </c>
      <c r="D619">
        <v>314.24</v>
      </c>
      <c r="E619">
        <v>2402.42</v>
      </c>
      <c r="F619">
        <v>30367.56</v>
      </c>
      <c r="G619">
        <v>1192.3800000000001</v>
      </c>
      <c r="H619">
        <v>6858.19</v>
      </c>
      <c r="I619">
        <v>1731.6</v>
      </c>
      <c r="J619">
        <v>9782.17</v>
      </c>
      <c r="K619">
        <v>40149.730000000003</v>
      </c>
      <c r="L619">
        <v>35099.53</v>
      </c>
      <c r="M619">
        <v>4224.3900000000003</v>
      </c>
      <c r="N619">
        <v>132.68</v>
      </c>
      <c r="O619">
        <v>568.64</v>
      </c>
      <c r="P619">
        <v>40025.24</v>
      </c>
      <c r="Q619">
        <v>1312.67</v>
      </c>
      <c r="R619">
        <v>1238.6199999999999</v>
      </c>
      <c r="S619">
        <v>545.25</v>
      </c>
      <c r="T619">
        <v>1297.92</v>
      </c>
      <c r="U619">
        <v>0</v>
      </c>
      <c r="V619">
        <v>0</v>
      </c>
      <c r="W619">
        <v>28090.73</v>
      </c>
      <c r="X619">
        <v>32485.19</v>
      </c>
      <c r="Y619">
        <v>3935.24</v>
      </c>
      <c r="Z619">
        <v>13959.99</v>
      </c>
      <c r="AA619">
        <v>5110.51</v>
      </c>
      <c r="AB619">
        <v>2788.14</v>
      </c>
      <c r="AC619">
        <v>1939.02</v>
      </c>
      <c r="AD619">
        <v>0</v>
      </c>
      <c r="AE619">
        <v>140393.06</v>
      </c>
      <c r="AF619">
        <v>20416</v>
      </c>
      <c r="AG619" t="s">
        <v>128</v>
      </c>
      <c r="AH619" t="s">
        <v>129</v>
      </c>
      <c r="AI619" t="s">
        <v>128</v>
      </c>
      <c r="AJ619" t="s">
        <v>129</v>
      </c>
      <c r="AK619">
        <v>16831</v>
      </c>
      <c r="AL619" t="s">
        <v>50</v>
      </c>
      <c r="AM619">
        <v>3</v>
      </c>
      <c r="AN619">
        <v>3</v>
      </c>
      <c r="AO619">
        <v>2024</v>
      </c>
      <c r="AP619">
        <v>3</v>
      </c>
    </row>
    <row r="620" spans="1:42" x14ac:dyDescent="0.25">
      <c r="A620">
        <v>1300.77</v>
      </c>
      <c r="B620">
        <v>18738.93</v>
      </c>
      <c r="C620">
        <v>12455.78</v>
      </c>
      <c r="D620">
        <v>2218.0700000000002</v>
      </c>
      <c r="E620">
        <v>1625.32</v>
      </c>
      <c r="F620">
        <v>36338.870000000003</v>
      </c>
      <c r="G620">
        <v>9976.68</v>
      </c>
      <c r="H620">
        <v>6131.88</v>
      </c>
      <c r="I620">
        <v>2494.56</v>
      </c>
      <c r="J620">
        <v>18603.12</v>
      </c>
      <c r="K620">
        <v>54941.99</v>
      </c>
      <c r="L620">
        <v>1064.51</v>
      </c>
      <c r="M620">
        <v>16935.150000000001</v>
      </c>
      <c r="N620">
        <v>0</v>
      </c>
      <c r="O620">
        <v>556.65</v>
      </c>
      <c r="P620">
        <v>18556.310000000001</v>
      </c>
      <c r="Q620">
        <v>0</v>
      </c>
      <c r="R620">
        <v>112.91</v>
      </c>
      <c r="S620">
        <v>383.84</v>
      </c>
      <c r="T620">
        <v>14573.47</v>
      </c>
      <c r="U620">
        <v>0</v>
      </c>
      <c r="V620">
        <v>0</v>
      </c>
      <c r="W620">
        <v>7754.25</v>
      </c>
      <c r="X620">
        <v>22824.47</v>
      </c>
      <c r="Y620">
        <v>114.36</v>
      </c>
      <c r="Z620">
        <v>4059.55</v>
      </c>
      <c r="AA620">
        <v>4249.71</v>
      </c>
      <c r="AB620">
        <v>0</v>
      </c>
      <c r="AC620">
        <v>0</v>
      </c>
      <c r="AD620">
        <v>0</v>
      </c>
      <c r="AE620">
        <v>104746.38</v>
      </c>
      <c r="AF620">
        <v>19874</v>
      </c>
      <c r="AG620" t="s">
        <v>85</v>
      </c>
      <c r="AH620" t="s">
        <v>86</v>
      </c>
      <c r="AI620" t="s">
        <v>85</v>
      </c>
      <c r="AJ620" t="s">
        <v>86</v>
      </c>
      <c r="AK620">
        <v>6029</v>
      </c>
      <c r="AL620" t="s">
        <v>44</v>
      </c>
      <c r="AM620">
        <v>2</v>
      </c>
      <c r="AN620">
        <v>2</v>
      </c>
      <c r="AO620">
        <v>2024</v>
      </c>
      <c r="AP620">
        <v>3</v>
      </c>
    </row>
    <row r="621" spans="1:42" x14ac:dyDescent="0.25">
      <c r="A621">
        <v>1304.44</v>
      </c>
      <c r="B621">
        <v>29179.33</v>
      </c>
      <c r="C621">
        <v>4333.34</v>
      </c>
      <c r="D621">
        <v>1909.29</v>
      </c>
      <c r="E621">
        <v>6971.33</v>
      </c>
      <c r="F621">
        <v>43697.74</v>
      </c>
      <c r="G621">
        <v>7743.85</v>
      </c>
      <c r="H621">
        <v>5681.96</v>
      </c>
      <c r="I621">
        <v>2570.4499999999998</v>
      </c>
      <c r="J621">
        <v>15996.25</v>
      </c>
      <c r="K621">
        <v>59693.98</v>
      </c>
      <c r="L621">
        <v>51590.720000000001</v>
      </c>
      <c r="M621">
        <v>241.17</v>
      </c>
      <c r="N621">
        <v>2150.54</v>
      </c>
      <c r="O621">
        <v>210.17</v>
      </c>
      <c r="P621">
        <v>54192.6</v>
      </c>
      <c r="Q621">
        <v>15589.08</v>
      </c>
      <c r="R621">
        <v>547.36</v>
      </c>
      <c r="S621">
        <v>1149.17</v>
      </c>
      <c r="T621">
        <v>1878.93</v>
      </c>
      <c r="U621">
        <v>0</v>
      </c>
      <c r="V621">
        <v>0</v>
      </c>
      <c r="W621">
        <v>2549.04</v>
      </c>
      <c r="X621">
        <v>21713.58</v>
      </c>
      <c r="Y621">
        <v>5062.93</v>
      </c>
      <c r="Z621">
        <v>35899.83</v>
      </c>
      <c r="AA621">
        <v>4219.1099999999997</v>
      </c>
      <c r="AB621">
        <v>0</v>
      </c>
      <c r="AC621">
        <v>17706.86</v>
      </c>
      <c r="AD621">
        <v>0</v>
      </c>
      <c r="AE621">
        <v>198488.88</v>
      </c>
      <c r="AF621">
        <v>22080</v>
      </c>
      <c r="AG621" t="s">
        <v>132</v>
      </c>
      <c r="AH621" t="s">
        <v>133</v>
      </c>
      <c r="AI621" t="s">
        <v>132</v>
      </c>
      <c r="AJ621" t="s">
        <v>133</v>
      </c>
      <c r="AK621">
        <v>1268</v>
      </c>
      <c r="AL621" t="s">
        <v>44</v>
      </c>
      <c r="AM621">
        <v>2</v>
      </c>
      <c r="AN621">
        <v>2</v>
      </c>
      <c r="AO621">
        <v>2024</v>
      </c>
      <c r="AP621">
        <v>4</v>
      </c>
    </row>
    <row r="622" spans="1:42" x14ac:dyDescent="0.25">
      <c r="A622">
        <v>1310.92</v>
      </c>
      <c r="B622">
        <v>4133.34</v>
      </c>
      <c r="C622">
        <v>587.80999999999995</v>
      </c>
      <c r="D622">
        <v>3511.03</v>
      </c>
      <c r="E622">
        <v>563.78</v>
      </c>
      <c r="F622">
        <v>10106.870000000001</v>
      </c>
      <c r="G622">
        <v>943.94</v>
      </c>
      <c r="H622">
        <v>947.87</v>
      </c>
      <c r="I622">
        <v>864.51</v>
      </c>
      <c r="J622">
        <v>2756.32</v>
      </c>
      <c r="K622">
        <v>12863.19</v>
      </c>
      <c r="L622">
        <v>0</v>
      </c>
      <c r="M622">
        <v>484.94</v>
      </c>
      <c r="N622">
        <v>0</v>
      </c>
      <c r="O622">
        <v>149.08000000000001</v>
      </c>
      <c r="P622">
        <v>634.02</v>
      </c>
      <c r="Q622">
        <v>25.05</v>
      </c>
      <c r="R622">
        <v>11.58</v>
      </c>
      <c r="S622">
        <v>51.82</v>
      </c>
      <c r="T622">
        <v>2378.73</v>
      </c>
      <c r="U622">
        <v>0</v>
      </c>
      <c r="V622">
        <v>0</v>
      </c>
      <c r="W622">
        <v>458.66</v>
      </c>
      <c r="X622">
        <v>2925.84</v>
      </c>
      <c r="Y622">
        <v>0</v>
      </c>
      <c r="Z622">
        <v>1845.08</v>
      </c>
      <c r="AA622">
        <v>113.2</v>
      </c>
      <c r="AB622">
        <v>0</v>
      </c>
      <c r="AC622">
        <v>70.599999999999994</v>
      </c>
      <c r="AD622">
        <v>0.5</v>
      </c>
      <c r="AE622">
        <v>18452.419999999998</v>
      </c>
      <c r="AF622">
        <v>20398</v>
      </c>
      <c r="AG622" t="s">
        <v>130</v>
      </c>
      <c r="AH622" t="s">
        <v>131</v>
      </c>
      <c r="AI622" t="s">
        <v>130</v>
      </c>
      <c r="AJ622" t="s">
        <v>131</v>
      </c>
      <c r="AK622">
        <v>16820</v>
      </c>
      <c r="AL622" t="s">
        <v>50</v>
      </c>
      <c r="AM622">
        <v>3</v>
      </c>
      <c r="AN622">
        <v>3</v>
      </c>
      <c r="AO622">
        <v>2024</v>
      </c>
      <c r="AP622">
        <v>1</v>
      </c>
    </row>
    <row r="623" spans="1:42" x14ac:dyDescent="0.25">
      <c r="A623">
        <v>1312.65</v>
      </c>
      <c r="B623">
        <v>248490.62</v>
      </c>
      <c r="C623">
        <v>69451.289999999994</v>
      </c>
      <c r="D623">
        <v>70207.199999999997</v>
      </c>
      <c r="E623">
        <v>74024.11</v>
      </c>
      <c r="F623">
        <v>463485.87</v>
      </c>
      <c r="G623">
        <v>37795.26</v>
      </c>
      <c r="H623">
        <v>127565.64</v>
      </c>
      <c r="I623">
        <v>27382.95</v>
      </c>
      <c r="J623">
        <v>192743.84</v>
      </c>
      <c r="K623">
        <v>656229.71</v>
      </c>
      <c r="L623">
        <v>341156.82</v>
      </c>
      <c r="M623">
        <v>53449.3</v>
      </c>
      <c r="N623">
        <v>45748.02</v>
      </c>
      <c r="O623">
        <v>5591.58</v>
      </c>
      <c r="P623">
        <v>445945.72</v>
      </c>
      <c r="Q623">
        <v>6546.81</v>
      </c>
      <c r="R623">
        <v>17977.5</v>
      </c>
      <c r="S623">
        <v>4233.6899999999996</v>
      </c>
      <c r="T623">
        <v>92597.61</v>
      </c>
      <c r="U623">
        <v>11935.77</v>
      </c>
      <c r="V623">
        <v>0</v>
      </c>
      <c r="W623">
        <v>166663.73000000001</v>
      </c>
      <c r="X623">
        <v>299955.11</v>
      </c>
      <c r="Y623">
        <v>40572.28</v>
      </c>
      <c r="Z623">
        <v>124924.18</v>
      </c>
      <c r="AA623">
        <v>71211.81</v>
      </c>
      <c r="AB623">
        <v>4662.37</v>
      </c>
      <c r="AC623">
        <v>12004.74</v>
      </c>
      <c r="AD623">
        <v>5363.21</v>
      </c>
      <c r="AE623">
        <v>1660869.13</v>
      </c>
      <c r="AF623">
        <v>19805</v>
      </c>
      <c r="AG623" t="s">
        <v>105</v>
      </c>
      <c r="AH623" t="s">
        <v>106</v>
      </c>
      <c r="AI623" t="s">
        <v>105</v>
      </c>
      <c r="AJ623" t="s">
        <v>106</v>
      </c>
      <c r="AK623">
        <v>10049</v>
      </c>
      <c r="AL623" t="s">
        <v>53</v>
      </c>
      <c r="AM623">
        <v>3</v>
      </c>
      <c r="AN623">
        <v>3</v>
      </c>
      <c r="AO623">
        <v>2024</v>
      </c>
      <c r="AP623">
        <v>4</v>
      </c>
    </row>
    <row r="624" spans="1:42" x14ac:dyDescent="0.25">
      <c r="A624">
        <v>1318.7</v>
      </c>
      <c r="B624">
        <v>90872.72</v>
      </c>
      <c r="C624">
        <v>7588.01</v>
      </c>
      <c r="D624">
        <v>21933.45</v>
      </c>
      <c r="E624">
        <v>24165.11</v>
      </c>
      <c r="F624">
        <v>145878</v>
      </c>
      <c r="G624">
        <v>14337.4</v>
      </c>
      <c r="H624">
        <v>39553.82</v>
      </c>
      <c r="I624">
        <v>14190.97</v>
      </c>
      <c r="J624">
        <v>68082.19</v>
      </c>
      <c r="K624">
        <v>213960.18</v>
      </c>
      <c r="L624">
        <v>164657.06</v>
      </c>
      <c r="M624">
        <v>4651.03</v>
      </c>
      <c r="N624">
        <v>8340.61</v>
      </c>
      <c r="O624">
        <v>2175.0500000000002</v>
      </c>
      <c r="P624">
        <v>179823.75</v>
      </c>
      <c r="Q624">
        <v>4424.6499999999996</v>
      </c>
      <c r="R624">
        <v>713</v>
      </c>
      <c r="S624">
        <v>2033.5</v>
      </c>
      <c r="T624">
        <v>24297.42</v>
      </c>
      <c r="U624">
        <v>1736.9</v>
      </c>
      <c r="V624">
        <v>0</v>
      </c>
      <c r="W624">
        <v>65606.09</v>
      </c>
      <c r="X624">
        <v>98811.55</v>
      </c>
      <c r="Y624">
        <v>12247.31</v>
      </c>
      <c r="Z624">
        <v>26821.16</v>
      </c>
      <c r="AA624">
        <v>35518.33</v>
      </c>
      <c r="AB624">
        <v>4325.1400000000003</v>
      </c>
      <c r="AC624">
        <v>8237.5499999999993</v>
      </c>
      <c r="AD624">
        <v>140.84</v>
      </c>
      <c r="AE624">
        <v>579885.80000000005</v>
      </c>
      <c r="AF624">
        <v>20409</v>
      </c>
      <c r="AG624" t="s">
        <v>95</v>
      </c>
      <c r="AH624" t="s">
        <v>96</v>
      </c>
      <c r="AI624" t="s">
        <v>95</v>
      </c>
      <c r="AJ624" t="s">
        <v>96</v>
      </c>
      <c r="AK624">
        <v>16673</v>
      </c>
      <c r="AL624" t="s">
        <v>50</v>
      </c>
      <c r="AM624">
        <v>3</v>
      </c>
      <c r="AN624">
        <v>3</v>
      </c>
      <c r="AO624">
        <v>2024</v>
      </c>
      <c r="AP624">
        <v>1</v>
      </c>
    </row>
    <row r="625" spans="1:42" x14ac:dyDescent="0.25">
      <c r="A625">
        <v>1348.3</v>
      </c>
      <c r="B625">
        <v>26846.04</v>
      </c>
      <c r="C625">
        <v>3071.28</v>
      </c>
      <c r="D625">
        <v>340.67</v>
      </c>
      <c r="E625">
        <v>2455.5300000000002</v>
      </c>
      <c r="F625">
        <v>34061.83</v>
      </c>
      <c r="G625">
        <v>1373.33</v>
      </c>
      <c r="H625">
        <v>7697.22</v>
      </c>
      <c r="I625">
        <v>2470.8200000000002</v>
      </c>
      <c r="J625">
        <v>11541.37</v>
      </c>
      <c r="K625">
        <v>45603.199999999997</v>
      </c>
      <c r="L625">
        <v>44395.25</v>
      </c>
      <c r="M625">
        <v>4641.1499999999996</v>
      </c>
      <c r="N625">
        <v>88.7</v>
      </c>
      <c r="O625">
        <v>524.1</v>
      </c>
      <c r="P625">
        <v>49649.2</v>
      </c>
      <c r="Q625">
        <v>307.76</v>
      </c>
      <c r="R625">
        <v>1347.47</v>
      </c>
      <c r="S625">
        <v>569.04</v>
      </c>
      <c r="T625">
        <v>1163.5899999999999</v>
      </c>
      <c r="U625">
        <v>0</v>
      </c>
      <c r="V625">
        <v>0</v>
      </c>
      <c r="W625">
        <v>30526.34</v>
      </c>
      <c r="X625">
        <v>33914.199999999997</v>
      </c>
      <c r="Y625">
        <v>4444.12</v>
      </c>
      <c r="Z625">
        <v>13661.98</v>
      </c>
      <c r="AA625">
        <v>6086.76</v>
      </c>
      <c r="AB625">
        <v>3122.19</v>
      </c>
      <c r="AC625">
        <v>-240.92</v>
      </c>
      <c r="AD625">
        <v>0</v>
      </c>
      <c r="AE625">
        <v>156240.73000000001</v>
      </c>
      <c r="AF625">
        <v>20416</v>
      </c>
      <c r="AG625" t="s">
        <v>128</v>
      </c>
      <c r="AH625" t="s">
        <v>129</v>
      </c>
      <c r="AI625" t="s">
        <v>128</v>
      </c>
      <c r="AJ625" t="s">
        <v>129</v>
      </c>
      <c r="AK625">
        <v>16831</v>
      </c>
      <c r="AL625" t="s">
        <v>50</v>
      </c>
      <c r="AM625">
        <v>3</v>
      </c>
      <c r="AN625">
        <v>3</v>
      </c>
      <c r="AO625">
        <v>2024</v>
      </c>
      <c r="AP625">
        <v>2</v>
      </c>
    </row>
    <row r="626" spans="1:42" x14ac:dyDescent="0.25">
      <c r="A626">
        <v>1381.11</v>
      </c>
      <c r="B626">
        <v>263693.49</v>
      </c>
      <c r="C626">
        <v>73468.91</v>
      </c>
      <c r="D626">
        <v>74752.34</v>
      </c>
      <c r="E626">
        <v>79379.67</v>
      </c>
      <c r="F626">
        <v>492675.52</v>
      </c>
      <c r="G626">
        <v>39866.85</v>
      </c>
      <c r="H626">
        <v>133250.01999999999</v>
      </c>
      <c r="I626">
        <v>30116.73</v>
      </c>
      <c r="J626">
        <v>203233.6</v>
      </c>
      <c r="K626">
        <v>695909.12</v>
      </c>
      <c r="L626">
        <v>310357.67</v>
      </c>
      <c r="M626">
        <v>57681.88</v>
      </c>
      <c r="N626">
        <v>47570.38</v>
      </c>
      <c r="O626">
        <v>5919.15</v>
      </c>
      <c r="P626">
        <v>421529.08</v>
      </c>
      <c r="Q626">
        <v>7011.67</v>
      </c>
      <c r="R626">
        <v>18498.66</v>
      </c>
      <c r="S626">
        <v>4462.07</v>
      </c>
      <c r="T626">
        <v>97965.55</v>
      </c>
      <c r="U626">
        <v>12805.83</v>
      </c>
      <c r="V626">
        <v>0</v>
      </c>
      <c r="W626">
        <v>175785.64</v>
      </c>
      <c r="X626">
        <v>316529.42</v>
      </c>
      <c r="Y626">
        <v>42225.75</v>
      </c>
      <c r="Z626">
        <v>129064.93</v>
      </c>
      <c r="AA626">
        <v>75331.009999999995</v>
      </c>
      <c r="AB626">
        <v>4900.68</v>
      </c>
      <c r="AC626">
        <v>5176.5600000000004</v>
      </c>
      <c r="AD626">
        <v>5701.94</v>
      </c>
      <c r="AE626">
        <v>1696368.48</v>
      </c>
      <c r="AF626">
        <v>19805</v>
      </c>
      <c r="AG626" t="s">
        <v>105</v>
      </c>
      <c r="AH626" t="s">
        <v>106</v>
      </c>
      <c r="AI626" t="s">
        <v>105</v>
      </c>
      <c r="AJ626" t="s">
        <v>106</v>
      </c>
      <c r="AK626">
        <v>10050</v>
      </c>
      <c r="AL626" t="s">
        <v>50</v>
      </c>
      <c r="AM626">
        <v>3</v>
      </c>
      <c r="AN626">
        <v>3</v>
      </c>
      <c r="AO626">
        <v>2024</v>
      </c>
      <c r="AP626">
        <v>4</v>
      </c>
    </row>
    <row r="627" spans="1:42" x14ac:dyDescent="0.25">
      <c r="A627">
        <v>1383.37</v>
      </c>
      <c r="B627">
        <v>13840.52</v>
      </c>
      <c r="C627">
        <v>5321.07</v>
      </c>
      <c r="D627">
        <v>1165.4100000000001</v>
      </c>
      <c r="E627">
        <v>4218.5600000000004</v>
      </c>
      <c r="F627">
        <v>25928.93</v>
      </c>
      <c r="G627">
        <v>3151.8</v>
      </c>
      <c r="H627">
        <v>2356.63</v>
      </c>
      <c r="I627">
        <v>2225.29</v>
      </c>
      <c r="J627">
        <v>7733.72</v>
      </c>
      <c r="K627">
        <v>33662.65</v>
      </c>
      <c r="L627">
        <v>48.71</v>
      </c>
      <c r="M627">
        <v>7711.67</v>
      </c>
      <c r="N627">
        <v>0</v>
      </c>
      <c r="O627">
        <v>785.9</v>
      </c>
      <c r="P627">
        <v>8546.2800000000007</v>
      </c>
      <c r="Q627">
        <v>24.18</v>
      </c>
      <c r="R627">
        <v>2.0099999999999998</v>
      </c>
      <c r="S627">
        <v>900.4</v>
      </c>
      <c r="T627">
        <v>7449.62</v>
      </c>
      <c r="U627">
        <v>0</v>
      </c>
      <c r="V627">
        <v>0</v>
      </c>
      <c r="W627">
        <v>1679.61</v>
      </c>
      <c r="X627">
        <v>10055.799999999999</v>
      </c>
      <c r="Y627">
        <v>0</v>
      </c>
      <c r="Z627">
        <v>677.36</v>
      </c>
      <c r="AA627">
        <v>838.68</v>
      </c>
      <c r="AB627">
        <v>0</v>
      </c>
      <c r="AC627">
        <v>369.08</v>
      </c>
      <c r="AD627">
        <v>0</v>
      </c>
      <c r="AE627">
        <v>54149.84</v>
      </c>
      <c r="AF627">
        <v>20445</v>
      </c>
      <c r="AG627" t="s">
        <v>73</v>
      </c>
      <c r="AH627" t="s">
        <v>74</v>
      </c>
      <c r="AI627" t="s">
        <v>73</v>
      </c>
      <c r="AJ627" t="s">
        <v>74</v>
      </c>
      <c r="AK627">
        <v>6944</v>
      </c>
      <c r="AL627" t="s">
        <v>44</v>
      </c>
      <c r="AM627">
        <v>2</v>
      </c>
      <c r="AN627">
        <v>2</v>
      </c>
      <c r="AO627">
        <v>2024</v>
      </c>
      <c r="AP627">
        <v>1</v>
      </c>
    </row>
    <row r="628" spans="1:42" x14ac:dyDescent="0.25">
      <c r="A628">
        <v>1388.91</v>
      </c>
      <c r="B628">
        <v>88034.51</v>
      </c>
      <c r="C628">
        <v>7165.53</v>
      </c>
      <c r="D628">
        <v>21196.82</v>
      </c>
      <c r="E628">
        <v>23400.07</v>
      </c>
      <c r="F628">
        <v>141185.85</v>
      </c>
      <c r="G628">
        <v>14624.72</v>
      </c>
      <c r="H628">
        <v>33155.99</v>
      </c>
      <c r="I628">
        <v>10899.16</v>
      </c>
      <c r="J628">
        <v>58679.86</v>
      </c>
      <c r="K628">
        <v>199865.71</v>
      </c>
      <c r="L628">
        <v>159737.60999999999</v>
      </c>
      <c r="M628">
        <v>4859.26</v>
      </c>
      <c r="N628">
        <v>9285.36</v>
      </c>
      <c r="O628">
        <v>3071.84</v>
      </c>
      <c r="P628">
        <v>176954.07</v>
      </c>
      <c r="Q628">
        <v>3251.43</v>
      </c>
      <c r="R628">
        <v>726.81</v>
      </c>
      <c r="S628">
        <v>1969.18</v>
      </c>
      <c r="T628">
        <v>32906.01</v>
      </c>
      <c r="U628">
        <v>1888.43</v>
      </c>
      <c r="V628">
        <v>0</v>
      </c>
      <c r="W628">
        <v>74700.58</v>
      </c>
      <c r="X628">
        <v>115442.44</v>
      </c>
      <c r="Y628">
        <v>13707.22</v>
      </c>
      <c r="Z628">
        <v>26550.17</v>
      </c>
      <c r="AA628">
        <v>35285.589999999997</v>
      </c>
      <c r="AB628">
        <v>4492.1000000000004</v>
      </c>
      <c r="AC628">
        <v>5310.6</v>
      </c>
      <c r="AD628">
        <v>223.36</v>
      </c>
      <c r="AE628">
        <v>577831.27</v>
      </c>
      <c r="AF628">
        <v>20409</v>
      </c>
      <c r="AG628" t="s">
        <v>95</v>
      </c>
      <c r="AH628" t="s">
        <v>96</v>
      </c>
      <c r="AI628" t="s">
        <v>95</v>
      </c>
      <c r="AJ628" t="s">
        <v>96</v>
      </c>
      <c r="AK628">
        <v>16673</v>
      </c>
      <c r="AL628" t="s">
        <v>50</v>
      </c>
      <c r="AM628">
        <v>3</v>
      </c>
      <c r="AN628">
        <v>3</v>
      </c>
      <c r="AO628">
        <v>2024</v>
      </c>
      <c r="AP628">
        <v>2</v>
      </c>
    </row>
    <row r="629" spans="1:42" x14ac:dyDescent="0.25">
      <c r="A629">
        <v>1470.25</v>
      </c>
      <c r="B629">
        <v>83716.649999999994</v>
      </c>
      <c r="C629">
        <v>24480.2</v>
      </c>
      <c r="D629">
        <v>4039.35</v>
      </c>
      <c r="E629">
        <v>20663.86</v>
      </c>
      <c r="F629">
        <v>134370.29999999999</v>
      </c>
      <c r="G629">
        <v>14542.07</v>
      </c>
      <c r="H629">
        <v>51820.72</v>
      </c>
      <c r="I629">
        <v>12677.06</v>
      </c>
      <c r="J629">
        <v>79039.850000000006</v>
      </c>
      <c r="K629">
        <v>213410.15</v>
      </c>
      <c r="L629">
        <v>170084.97</v>
      </c>
      <c r="M629">
        <v>18799.240000000002</v>
      </c>
      <c r="N629">
        <v>2972.85</v>
      </c>
      <c r="O629">
        <v>4678.8900000000003</v>
      </c>
      <c r="P629">
        <v>196535.95</v>
      </c>
      <c r="Q629">
        <v>9410.74</v>
      </c>
      <c r="R629">
        <v>4304.38</v>
      </c>
      <c r="S629">
        <v>2535.3200000000002</v>
      </c>
      <c r="T629">
        <v>7806.56</v>
      </c>
      <c r="U629">
        <v>0</v>
      </c>
      <c r="V629">
        <v>0</v>
      </c>
      <c r="W629">
        <v>36106.71</v>
      </c>
      <c r="X629">
        <v>60163.7</v>
      </c>
      <c r="Y629">
        <v>19465.740000000002</v>
      </c>
      <c r="Z629">
        <v>13613.47</v>
      </c>
      <c r="AA629">
        <v>53945.46</v>
      </c>
      <c r="AB629">
        <v>3596.73</v>
      </c>
      <c r="AC629">
        <v>47148.76</v>
      </c>
      <c r="AD629">
        <v>0</v>
      </c>
      <c r="AE629">
        <v>607879.94999999995</v>
      </c>
      <c r="AF629">
        <v>20368</v>
      </c>
      <c r="AG629" t="s">
        <v>136</v>
      </c>
      <c r="AH629" t="s">
        <v>137</v>
      </c>
      <c r="AI629" t="s">
        <v>136</v>
      </c>
      <c r="AJ629" t="s">
        <v>137</v>
      </c>
      <c r="AK629">
        <v>6035</v>
      </c>
      <c r="AL629" t="s">
        <v>44</v>
      </c>
      <c r="AM629">
        <v>3</v>
      </c>
      <c r="AN629">
        <v>3</v>
      </c>
      <c r="AO629">
        <v>2024</v>
      </c>
      <c r="AP629">
        <v>1</v>
      </c>
    </row>
    <row r="630" spans="1:42" x14ac:dyDescent="0.25">
      <c r="A630">
        <v>1495.13</v>
      </c>
      <c r="B630">
        <v>75140.06</v>
      </c>
      <c r="C630">
        <v>24535.54</v>
      </c>
      <c r="D630">
        <v>4117.25</v>
      </c>
      <c r="E630">
        <v>22036.53</v>
      </c>
      <c r="F630">
        <v>127324.52</v>
      </c>
      <c r="G630">
        <v>12505.54</v>
      </c>
      <c r="H630">
        <v>58120.05</v>
      </c>
      <c r="I630">
        <v>11316.46</v>
      </c>
      <c r="J630">
        <v>81942.039999999994</v>
      </c>
      <c r="K630">
        <v>209266.56</v>
      </c>
      <c r="L630">
        <v>170058.34</v>
      </c>
      <c r="M630">
        <v>20895.18</v>
      </c>
      <c r="N630">
        <v>3054.3</v>
      </c>
      <c r="O630">
        <v>5526.33</v>
      </c>
      <c r="P630">
        <v>199534.15</v>
      </c>
      <c r="Q630">
        <v>7493.65</v>
      </c>
      <c r="R630">
        <v>4134.8500000000004</v>
      </c>
      <c r="S630">
        <v>2686.65</v>
      </c>
      <c r="T630">
        <v>2374.9899999999998</v>
      </c>
      <c r="U630">
        <v>0</v>
      </c>
      <c r="V630">
        <v>0</v>
      </c>
      <c r="W630">
        <v>33899.919999999998</v>
      </c>
      <c r="X630">
        <v>50590.05</v>
      </c>
      <c r="Y630">
        <v>24170.65</v>
      </c>
      <c r="Z630">
        <v>14675.75</v>
      </c>
      <c r="AA630">
        <v>54900.6</v>
      </c>
      <c r="AB630">
        <v>4128.37</v>
      </c>
      <c r="AC630">
        <v>44837.59</v>
      </c>
      <c r="AD630">
        <v>0</v>
      </c>
      <c r="AE630">
        <v>602103.72</v>
      </c>
      <c r="AF630">
        <v>20368</v>
      </c>
      <c r="AG630" t="s">
        <v>136</v>
      </c>
      <c r="AH630" t="s">
        <v>137</v>
      </c>
      <c r="AI630" t="s">
        <v>136</v>
      </c>
      <c r="AJ630" t="s">
        <v>137</v>
      </c>
      <c r="AK630">
        <v>6035</v>
      </c>
      <c r="AL630" t="s">
        <v>44</v>
      </c>
      <c r="AM630">
        <v>3</v>
      </c>
      <c r="AN630">
        <v>3</v>
      </c>
      <c r="AO630">
        <v>2024</v>
      </c>
      <c r="AP630">
        <v>2</v>
      </c>
    </row>
    <row r="631" spans="1:42" x14ac:dyDescent="0.25">
      <c r="A631">
        <v>1564.17</v>
      </c>
      <c r="B631">
        <v>340024.6</v>
      </c>
      <c r="C631">
        <v>97634.62</v>
      </c>
      <c r="D631">
        <v>99792.73</v>
      </c>
      <c r="E631">
        <v>111405.64</v>
      </c>
      <c r="F631">
        <v>650421.76000000001</v>
      </c>
      <c r="G631">
        <v>53429.760000000002</v>
      </c>
      <c r="H631">
        <v>183506.8</v>
      </c>
      <c r="I631">
        <v>34678.19</v>
      </c>
      <c r="J631">
        <v>271614.75</v>
      </c>
      <c r="K631">
        <v>922036.5</v>
      </c>
      <c r="L631">
        <v>542691.37</v>
      </c>
      <c r="M631">
        <v>75240.67</v>
      </c>
      <c r="N631">
        <v>70957.02</v>
      </c>
      <c r="O631">
        <v>3381.89</v>
      </c>
      <c r="P631">
        <v>692270.94</v>
      </c>
      <c r="Q631">
        <v>7786.32</v>
      </c>
      <c r="R631">
        <v>28065.52</v>
      </c>
      <c r="S631">
        <v>4433.46</v>
      </c>
      <c r="T631">
        <v>134572.1</v>
      </c>
      <c r="U631">
        <v>14605.62</v>
      </c>
      <c r="V631">
        <v>0</v>
      </c>
      <c r="W631">
        <v>230232.95</v>
      </c>
      <c r="X631">
        <v>419695.97</v>
      </c>
      <c r="Y631">
        <v>58625.17</v>
      </c>
      <c r="Z631">
        <v>188192.56</v>
      </c>
      <c r="AA631">
        <v>95424.62</v>
      </c>
      <c r="AB631">
        <v>5733.65</v>
      </c>
      <c r="AC631">
        <v>147449.48000000001</v>
      </c>
      <c r="AD631">
        <v>7988.37</v>
      </c>
      <c r="AE631">
        <v>2537417.2599999998</v>
      </c>
      <c r="AF631">
        <v>19805</v>
      </c>
      <c r="AG631" t="s">
        <v>105</v>
      </c>
      <c r="AH631" t="s">
        <v>106</v>
      </c>
      <c r="AI631" t="s">
        <v>105</v>
      </c>
      <c r="AJ631" t="s">
        <v>106</v>
      </c>
      <c r="AK631">
        <v>10049</v>
      </c>
      <c r="AL631" t="s">
        <v>53</v>
      </c>
      <c r="AM631">
        <v>3</v>
      </c>
      <c r="AN631">
        <v>3</v>
      </c>
      <c r="AO631">
        <v>2024</v>
      </c>
      <c r="AP631">
        <v>3</v>
      </c>
    </row>
    <row r="632" spans="1:42" x14ac:dyDescent="0.25">
      <c r="A632">
        <v>1573.99</v>
      </c>
      <c r="B632">
        <v>72907.94</v>
      </c>
      <c r="C632">
        <v>24521.89</v>
      </c>
      <c r="D632">
        <v>3881.21</v>
      </c>
      <c r="E632">
        <v>20926.95</v>
      </c>
      <c r="F632">
        <v>123811.98</v>
      </c>
      <c r="G632">
        <v>13365.34</v>
      </c>
      <c r="H632">
        <v>57814.99</v>
      </c>
      <c r="I632">
        <v>7070.17</v>
      </c>
      <c r="J632">
        <v>78250.490000000005</v>
      </c>
      <c r="K632">
        <v>202062.47</v>
      </c>
      <c r="L632">
        <v>139361.16</v>
      </c>
      <c r="M632">
        <v>23588.67</v>
      </c>
      <c r="N632">
        <v>2664.38</v>
      </c>
      <c r="O632">
        <v>5826.77</v>
      </c>
      <c r="P632">
        <v>171440.98</v>
      </c>
      <c r="Q632">
        <v>4480.1099999999997</v>
      </c>
      <c r="R632">
        <v>4431.3999999999996</v>
      </c>
      <c r="S632">
        <v>1920.93</v>
      </c>
      <c r="T632">
        <v>3769.5</v>
      </c>
      <c r="U632">
        <v>0</v>
      </c>
      <c r="V632">
        <v>0</v>
      </c>
      <c r="W632">
        <v>33754.97</v>
      </c>
      <c r="X632">
        <v>48356.91</v>
      </c>
      <c r="Y632">
        <v>19510.71</v>
      </c>
      <c r="Z632">
        <v>14016.61</v>
      </c>
      <c r="AA632">
        <v>53572.639999999999</v>
      </c>
      <c r="AB632">
        <v>4758.88</v>
      </c>
      <c r="AC632">
        <v>17663.38</v>
      </c>
      <c r="AD632">
        <v>0</v>
      </c>
      <c r="AE632">
        <v>531382.57999999996</v>
      </c>
      <c r="AF632">
        <v>20368</v>
      </c>
      <c r="AG632" t="s">
        <v>136</v>
      </c>
      <c r="AH632" t="s">
        <v>137</v>
      </c>
      <c r="AI632" t="s">
        <v>136</v>
      </c>
      <c r="AJ632" t="s">
        <v>137</v>
      </c>
      <c r="AK632">
        <v>6035</v>
      </c>
      <c r="AL632" t="s">
        <v>44</v>
      </c>
      <c r="AM632">
        <v>3</v>
      </c>
      <c r="AN632">
        <v>3</v>
      </c>
      <c r="AO632">
        <v>2024</v>
      </c>
      <c r="AP632">
        <v>4</v>
      </c>
    </row>
    <row r="633" spans="1:42" x14ac:dyDescent="0.25">
      <c r="A633">
        <v>1640.9</v>
      </c>
      <c r="B633">
        <v>27667.65</v>
      </c>
      <c r="C633">
        <v>7625.9</v>
      </c>
      <c r="D633">
        <v>88.54</v>
      </c>
      <c r="E633">
        <v>0</v>
      </c>
      <c r="F633">
        <v>37022.980000000003</v>
      </c>
      <c r="G633">
        <v>3095.07</v>
      </c>
      <c r="H633">
        <v>2177.3200000000002</v>
      </c>
      <c r="I633">
        <v>2703.78</v>
      </c>
      <c r="J633">
        <v>7976.16</v>
      </c>
      <c r="K633">
        <v>44999.14</v>
      </c>
      <c r="L633">
        <v>350.46</v>
      </c>
      <c r="M633">
        <v>1427.21</v>
      </c>
      <c r="N633">
        <v>0</v>
      </c>
      <c r="O633">
        <v>0</v>
      </c>
      <c r="P633">
        <v>1777.67</v>
      </c>
      <c r="Q633">
        <v>0</v>
      </c>
      <c r="R633">
        <v>0</v>
      </c>
      <c r="S633">
        <v>988.29</v>
      </c>
      <c r="T633">
        <v>0</v>
      </c>
      <c r="U633">
        <v>0</v>
      </c>
      <c r="V633">
        <v>0</v>
      </c>
      <c r="W633">
        <v>0</v>
      </c>
      <c r="X633">
        <v>988.29</v>
      </c>
      <c r="Y633">
        <v>0</v>
      </c>
      <c r="Z633">
        <v>3041.37</v>
      </c>
      <c r="AA633">
        <v>9496.09</v>
      </c>
      <c r="AB633">
        <v>0</v>
      </c>
      <c r="AC633">
        <v>33305.49</v>
      </c>
      <c r="AD633">
        <v>0</v>
      </c>
      <c r="AE633">
        <v>93608.04</v>
      </c>
      <c r="AF633">
        <v>20378</v>
      </c>
      <c r="AG633" t="s">
        <v>67</v>
      </c>
      <c r="AH633" t="s">
        <v>68</v>
      </c>
      <c r="AI633" t="s">
        <v>67</v>
      </c>
      <c r="AJ633" t="s">
        <v>68</v>
      </c>
      <c r="AK633">
        <v>6689</v>
      </c>
      <c r="AL633" t="s">
        <v>44</v>
      </c>
      <c r="AM633">
        <v>2</v>
      </c>
      <c r="AN633">
        <v>2</v>
      </c>
      <c r="AO633">
        <v>2024</v>
      </c>
      <c r="AP633">
        <v>2</v>
      </c>
    </row>
    <row r="634" spans="1:42" x14ac:dyDescent="0.25">
      <c r="A634">
        <v>1647.39</v>
      </c>
      <c r="B634">
        <v>2092.96</v>
      </c>
      <c r="F634">
        <v>3740.35</v>
      </c>
      <c r="H634">
        <v>838.84</v>
      </c>
      <c r="I634">
        <v>335.88</v>
      </c>
      <c r="J634">
        <v>1174.72</v>
      </c>
      <c r="K634">
        <v>4915.07</v>
      </c>
      <c r="L634">
        <v>8.7200000000000006</v>
      </c>
      <c r="M634">
        <v>762.96</v>
      </c>
      <c r="P634">
        <v>771.68</v>
      </c>
      <c r="R634">
        <v>21.22</v>
      </c>
      <c r="S634">
        <v>167.12</v>
      </c>
      <c r="T634">
        <v>1392.06</v>
      </c>
      <c r="W634">
        <v>521.53</v>
      </c>
      <c r="X634">
        <v>2101.9299999999998</v>
      </c>
      <c r="Y634">
        <v>7.0000000000000007E-2</v>
      </c>
      <c r="Z634">
        <v>131.58000000000001</v>
      </c>
      <c r="AA634">
        <v>690.94</v>
      </c>
      <c r="AC634">
        <v>5463.47</v>
      </c>
      <c r="AE634">
        <v>14074.74</v>
      </c>
      <c r="AF634">
        <v>21754</v>
      </c>
      <c r="AG634" t="s">
        <v>138</v>
      </c>
      <c r="AH634" t="s">
        <v>139</v>
      </c>
      <c r="AI634" t="s">
        <v>138</v>
      </c>
      <c r="AJ634" t="s">
        <v>139</v>
      </c>
      <c r="AK634">
        <v>1207</v>
      </c>
      <c r="AL634" t="s">
        <v>115</v>
      </c>
      <c r="AM634">
        <v>1</v>
      </c>
      <c r="AN634">
        <v>1</v>
      </c>
      <c r="AO634">
        <v>2024</v>
      </c>
      <c r="AP634">
        <v>1</v>
      </c>
    </row>
    <row r="635" spans="1:42" x14ac:dyDescent="0.25">
      <c r="A635">
        <v>1651.33</v>
      </c>
      <c r="B635">
        <v>1600.19</v>
      </c>
      <c r="C635">
        <v>1322.87</v>
      </c>
      <c r="D635">
        <v>4109.71</v>
      </c>
      <c r="E635">
        <v>159.16</v>
      </c>
      <c r="F635">
        <v>8843.26</v>
      </c>
      <c r="G635">
        <v>545.66</v>
      </c>
      <c r="H635">
        <v>1516.31</v>
      </c>
      <c r="I635">
        <v>859.98</v>
      </c>
      <c r="J635">
        <v>2921.94</v>
      </c>
      <c r="K635">
        <v>11765.21</v>
      </c>
      <c r="L635">
        <v>5471.57</v>
      </c>
      <c r="M635">
        <v>691.93</v>
      </c>
      <c r="N635">
        <v>0</v>
      </c>
      <c r="O635">
        <v>137.78</v>
      </c>
      <c r="P635">
        <v>6301.28</v>
      </c>
      <c r="Q635">
        <v>110.86</v>
      </c>
      <c r="R635">
        <v>497.45</v>
      </c>
      <c r="S635">
        <v>385.67</v>
      </c>
      <c r="T635">
        <v>2005.81</v>
      </c>
      <c r="U635">
        <v>0</v>
      </c>
      <c r="V635">
        <v>21.21</v>
      </c>
      <c r="W635">
        <v>410.8</v>
      </c>
      <c r="X635">
        <v>3431.81</v>
      </c>
      <c r="Y635">
        <v>824.45</v>
      </c>
      <c r="Z635">
        <v>824.04</v>
      </c>
      <c r="AA635">
        <v>2471.85</v>
      </c>
      <c r="AB635">
        <v>0</v>
      </c>
      <c r="AC635">
        <v>1519.37</v>
      </c>
      <c r="AD635">
        <v>1542.16</v>
      </c>
      <c r="AE635">
        <v>28680.17</v>
      </c>
      <c r="AF635">
        <v>21634</v>
      </c>
      <c r="AG635" t="s">
        <v>111</v>
      </c>
      <c r="AH635" t="s">
        <v>112</v>
      </c>
      <c r="AI635" t="s">
        <v>111</v>
      </c>
      <c r="AJ635" t="s">
        <v>112</v>
      </c>
      <c r="AK635">
        <v>1146</v>
      </c>
      <c r="AL635" t="s">
        <v>44</v>
      </c>
      <c r="AM635">
        <v>2</v>
      </c>
      <c r="AN635">
        <v>2</v>
      </c>
      <c r="AO635">
        <v>2024</v>
      </c>
      <c r="AP635">
        <v>1</v>
      </c>
    </row>
    <row r="636" spans="1:42" x14ac:dyDescent="0.25">
      <c r="A636">
        <v>1690.53</v>
      </c>
      <c r="B636">
        <v>324588.96999999997</v>
      </c>
      <c r="C636">
        <v>88483.49</v>
      </c>
      <c r="D636">
        <v>93116.54</v>
      </c>
      <c r="E636">
        <v>99380.13</v>
      </c>
      <c r="F636">
        <v>607259.66</v>
      </c>
      <c r="G636">
        <v>51873.599999999999</v>
      </c>
      <c r="H636">
        <v>153225.59</v>
      </c>
      <c r="I636">
        <v>36847.440000000002</v>
      </c>
      <c r="J636">
        <v>241946.63</v>
      </c>
      <c r="K636">
        <v>849206.29</v>
      </c>
      <c r="L636">
        <v>549221.16</v>
      </c>
      <c r="M636">
        <v>74628.22</v>
      </c>
      <c r="N636">
        <v>65788.38</v>
      </c>
      <c r="O636">
        <v>4328.92</v>
      </c>
      <c r="P636">
        <v>693966.68</v>
      </c>
      <c r="Q636">
        <v>6145.07</v>
      </c>
      <c r="R636">
        <v>26320.9</v>
      </c>
      <c r="S636">
        <v>4391.46</v>
      </c>
      <c r="T636">
        <v>116855.76</v>
      </c>
      <c r="U636">
        <v>10612.29</v>
      </c>
      <c r="V636">
        <v>0</v>
      </c>
      <c r="W636">
        <v>217441.13</v>
      </c>
      <c r="X636">
        <v>381766.6</v>
      </c>
      <c r="Y636">
        <v>58361.279999999999</v>
      </c>
      <c r="Z636">
        <v>173017.48</v>
      </c>
      <c r="AA636">
        <v>89736.44</v>
      </c>
      <c r="AB636">
        <v>5469.43</v>
      </c>
      <c r="AC636">
        <v>27724.93</v>
      </c>
      <c r="AD636">
        <v>7868.12</v>
      </c>
      <c r="AE636">
        <v>2287117.2400000002</v>
      </c>
      <c r="AF636">
        <v>19805</v>
      </c>
      <c r="AG636" t="s">
        <v>105</v>
      </c>
      <c r="AH636" t="s">
        <v>106</v>
      </c>
      <c r="AI636" t="s">
        <v>105</v>
      </c>
      <c r="AJ636" t="s">
        <v>106</v>
      </c>
      <c r="AK636">
        <v>10049</v>
      </c>
      <c r="AL636" t="s">
        <v>53</v>
      </c>
      <c r="AM636">
        <v>3</v>
      </c>
      <c r="AN636">
        <v>3</v>
      </c>
      <c r="AO636">
        <v>2024</v>
      </c>
      <c r="AP636">
        <v>2</v>
      </c>
    </row>
    <row r="637" spans="1:42" x14ac:dyDescent="0.25">
      <c r="A637">
        <v>1710.59</v>
      </c>
      <c r="B637">
        <v>34543.75</v>
      </c>
      <c r="C637">
        <v>3751.94</v>
      </c>
      <c r="D637">
        <v>407.39</v>
      </c>
      <c r="E637">
        <v>3475.31</v>
      </c>
      <c r="F637">
        <v>43888.98</v>
      </c>
      <c r="G637">
        <v>1651.44</v>
      </c>
      <c r="H637">
        <v>9092.82</v>
      </c>
      <c r="I637">
        <v>3617</v>
      </c>
      <c r="J637">
        <v>14361.26</v>
      </c>
      <c r="K637">
        <v>58250.239999999998</v>
      </c>
      <c r="L637">
        <v>54857.440000000002</v>
      </c>
      <c r="M637">
        <v>5629.03</v>
      </c>
      <c r="N637">
        <v>115.33</v>
      </c>
      <c r="O637">
        <v>539.70000000000005</v>
      </c>
      <c r="P637">
        <v>61141.5</v>
      </c>
      <c r="Q637">
        <v>375.29</v>
      </c>
      <c r="R637">
        <v>1648.46</v>
      </c>
      <c r="S637">
        <v>747.47</v>
      </c>
      <c r="T637">
        <v>1934</v>
      </c>
      <c r="U637">
        <v>0</v>
      </c>
      <c r="V637">
        <v>0</v>
      </c>
      <c r="W637">
        <v>37513.75</v>
      </c>
      <c r="X637">
        <v>42218.97</v>
      </c>
      <c r="Y637">
        <v>5036.5600000000004</v>
      </c>
      <c r="Z637">
        <v>15552.79</v>
      </c>
      <c r="AA637">
        <v>7291</v>
      </c>
      <c r="AB637">
        <v>3690.75</v>
      </c>
      <c r="AC637">
        <v>5656.16</v>
      </c>
      <c r="AD637">
        <v>0</v>
      </c>
      <c r="AE637">
        <v>198837.97</v>
      </c>
      <c r="AF637">
        <v>20416</v>
      </c>
      <c r="AG637" t="s">
        <v>128</v>
      </c>
      <c r="AH637" t="s">
        <v>129</v>
      </c>
      <c r="AI637" t="s">
        <v>128</v>
      </c>
      <c r="AJ637" t="s">
        <v>129</v>
      </c>
      <c r="AK637">
        <v>16831</v>
      </c>
      <c r="AL637" t="s">
        <v>50</v>
      </c>
      <c r="AM637">
        <v>3</v>
      </c>
      <c r="AN637">
        <v>3</v>
      </c>
      <c r="AO637">
        <v>2024</v>
      </c>
      <c r="AP637">
        <v>1</v>
      </c>
    </row>
    <row r="638" spans="1:42" x14ac:dyDescent="0.25">
      <c r="A638">
        <v>1746.39</v>
      </c>
      <c r="B638">
        <v>14427.66</v>
      </c>
      <c r="C638">
        <v>5112.6000000000004</v>
      </c>
      <c r="D638">
        <v>1221.51</v>
      </c>
      <c r="E638">
        <v>4186.0600000000004</v>
      </c>
      <c r="F638">
        <v>26694.21</v>
      </c>
      <c r="G638">
        <v>3789.75</v>
      </c>
      <c r="H638">
        <v>2093.39</v>
      </c>
      <c r="I638">
        <v>1909.31</v>
      </c>
      <c r="J638">
        <v>7792.45</v>
      </c>
      <c r="K638">
        <v>34486.660000000003</v>
      </c>
      <c r="L638">
        <v>36.840000000000003</v>
      </c>
      <c r="M638">
        <v>9390.67</v>
      </c>
      <c r="N638">
        <v>0</v>
      </c>
      <c r="O638">
        <v>940.84</v>
      </c>
      <c r="P638">
        <v>10368.36</v>
      </c>
      <c r="Q638">
        <v>46.49</v>
      </c>
      <c r="R638">
        <v>2.25</v>
      </c>
      <c r="S638">
        <v>900.15</v>
      </c>
      <c r="T638">
        <v>8466.73</v>
      </c>
      <c r="U638">
        <v>0</v>
      </c>
      <c r="V638">
        <v>0</v>
      </c>
      <c r="W638">
        <v>1352.85</v>
      </c>
      <c r="X638">
        <v>10768.48</v>
      </c>
      <c r="Y638">
        <v>0</v>
      </c>
      <c r="Z638">
        <v>730.66</v>
      </c>
      <c r="AA638">
        <v>843.14</v>
      </c>
      <c r="AB638">
        <v>0</v>
      </c>
      <c r="AC638">
        <v>909.07</v>
      </c>
      <c r="AD638">
        <v>0</v>
      </c>
      <c r="AE638">
        <v>58106.36</v>
      </c>
      <c r="AF638">
        <v>20445</v>
      </c>
      <c r="AG638" t="s">
        <v>73</v>
      </c>
      <c r="AH638" t="s">
        <v>74</v>
      </c>
      <c r="AI638" t="s">
        <v>73</v>
      </c>
      <c r="AJ638" t="s">
        <v>74</v>
      </c>
      <c r="AK638">
        <v>6944</v>
      </c>
      <c r="AL638" t="s">
        <v>44</v>
      </c>
      <c r="AM638">
        <v>2</v>
      </c>
      <c r="AN638">
        <v>2</v>
      </c>
      <c r="AO638">
        <v>2024</v>
      </c>
      <c r="AP638">
        <v>2</v>
      </c>
    </row>
    <row r="639" spans="1:42" x14ac:dyDescent="0.25">
      <c r="A639">
        <v>1761.18</v>
      </c>
      <c r="B639">
        <v>73798.55</v>
      </c>
      <c r="C639">
        <v>23824.06</v>
      </c>
      <c r="D639">
        <v>3999.86</v>
      </c>
      <c r="E639">
        <v>20756.3</v>
      </c>
      <c r="F639">
        <v>124139.94</v>
      </c>
      <c r="G639">
        <v>13447.39</v>
      </c>
      <c r="H639">
        <v>47242.16</v>
      </c>
      <c r="I639">
        <v>11169.27</v>
      </c>
      <c r="J639">
        <v>71858.820000000007</v>
      </c>
      <c r="K639">
        <v>195998.76</v>
      </c>
      <c r="L639">
        <v>148236.49</v>
      </c>
      <c r="M639">
        <v>19274.240000000002</v>
      </c>
      <c r="N639">
        <v>2361.83</v>
      </c>
      <c r="O639">
        <v>5892.57</v>
      </c>
      <c r="P639">
        <v>175765.13</v>
      </c>
      <c r="Q639">
        <v>6405.65</v>
      </c>
      <c r="R639">
        <v>4594.72</v>
      </c>
      <c r="S639">
        <v>2603.71</v>
      </c>
      <c r="T639">
        <v>2041.05</v>
      </c>
      <c r="U639">
        <v>0</v>
      </c>
      <c r="V639">
        <v>0</v>
      </c>
      <c r="W639">
        <v>34012.980000000003</v>
      </c>
      <c r="X639">
        <v>49658.11</v>
      </c>
      <c r="Y639">
        <v>21265.58</v>
      </c>
      <c r="Z639">
        <v>14316.17</v>
      </c>
      <c r="AA639">
        <v>51344.9</v>
      </c>
      <c r="AB639">
        <v>4399.08</v>
      </c>
      <c r="AC639">
        <v>43031.88</v>
      </c>
      <c r="AD639">
        <v>0</v>
      </c>
      <c r="AE639">
        <v>555779.6</v>
      </c>
      <c r="AF639">
        <v>20368</v>
      </c>
      <c r="AG639" t="s">
        <v>136</v>
      </c>
      <c r="AH639" t="s">
        <v>137</v>
      </c>
      <c r="AI639" t="s">
        <v>136</v>
      </c>
      <c r="AJ639" t="s">
        <v>137</v>
      </c>
      <c r="AK639">
        <v>6035</v>
      </c>
      <c r="AL639" t="s">
        <v>44</v>
      </c>
      <c r="AM639">
        <v>3</v>
      </c>
      <c r="AN639">
        <v>3</v>
      </c>
      <c r="AO639">
        <v>2024</v>
      </c>
      <c r="AP639">
        <v>3</v>
      </c>
    </row>
    <row r="640" spans="1:42" x14ac:dyDescent="0.25">
      <c r="A640">
        <v>1814.37</v>
      </c>
      <c r="B640">
        <v>16672.55</v>
      </c>
      <c r="C640">
        <v>5614.91</v>
      </c>
      <c r="D640">
        <v>1291.0999999999999</v>
      </c>
      <c r="E640">
        <v>4042.67</v>
      </c>
      <c r="F640">
        <v>29435.59</v>
      </c>
      <c r="G640">
        <v>4178.75</v>
      </c>
      <c r="H640">
        <v>2325.0100000000002</v>
      </c>
      <c r="I640">
        <v>2015.19</v>
      </c>
      <c r="J640">
        <v>8518.94</v>
      </c>
      <c r="K640">
        <v>37954.53</v>
      </c>
      <c r="L640">
        <v>25.47</v>
      </c>
      <c r="M640">
        <v>9089.43</v>
      </c>
      <c r="N640">
        <v>0</v>
      </c>
      <c r="O640">
        <v>832.33</v>
      </c>
      <c r="P640">
        <v>9947.2199999999993</v>
      </c>
      <c r="Q640">
        <v>44.63</v>
      </c>
      <c r="R640">
        <v>0.02</v>
      </c>
      <c r="S640">
        <v>911.45</v>
      </c>
      <c r="T640">
        <v>6858.75</v>
      </c>
      <c r="U640">
        <v>0</v>
      </c>
      <c r="V640">
        <v>0</v>
      </c>
      <c r="W640">
        <v>1892.83</v>
      </c>
      <c r="X640">
        <v>9707.68</v>
      </c>
      <c r="Y640">
        <v>0.63</v>
      </c>
      <c r="Z640">
        <v>818.5</v>
      </c>
      <c r="AA640">
        <v>874.88</v>
      </c>
      <c r="AB640">
        <v>0</v>
      </c>
      <c r="AC640">
        <v>1392.69</v>
      </c>
      <c r="AD640">
        <v>0</v>
      </c>
      <c r="AE640">
        <v>60696.14</v>
      </c>
      <c r="AF640">
        <v>20445</v>
      </c>
      <c r="AG640" t="s">
        <v>73</v>
      </c>
      <c r="AH640" t="s">
        <v>74</v>
      </c>
      <c r="AI640" t="s">
        <v>73</v>
      </c>
      <c r="AJ640" t="s">
        <v>74</v>
      </c>
      <c r="AK640">
        <v>6944</v>
      </c>
      <c r="AL640" t="s">
        <v>44</v>
      </c>
      <c r="AM640">
        <v>2</v>
      </c>
      <c r="AN640">
        <v>2</v>
      </c>
      <c r="AO640">
        <v>2024</v>
      </c>
      <c r="AP640">
        <v>4</v>
      </c>
    </row>
    <row r="641" spans="1:42" x14ac:dyDescent="0.25">
      <c r="A641">
        <v>1838.75</v>
      </c>
      <c r="B641">
        <v>3211.48</v>
      </c>
      <c r="F641">
        <v>5050.24</v>
      </c>
      <c r="H641">
        <v>925.75</v>
      </c>
      <c r="I641">
        <v>424.53</v>
      </c>
      <c r="J641">
        <v>1350.29</v>
      </c>
      <c r="K641">
        <v>6400.52</v>
      </c>
      <c r="L641">
        <v>37.229999999999997</v>
      </c>
      <c r="M641">
        <v>1251.2</v>
      </c>
      <c r="P641">
        <v>1288.43</v>
      </c>
      <c r="R641">
        <v>21.45</v>
      </c>
      <c r="S641">
        <v>175.15</v>
      </c>
      <c r="T641">
        <v>1762.91</v>
      </c>
      <c r="W641">
        <v>706.46</v>
      </c>
      <c r="X641">
        <v>2665.96</v>
      </c>
      <c r="Y641">
        <v>1.1000000000000001</v>
      </c>
      <c r="Z641">
        <v>132.59</v>
      </c>
      <c r="AA641">
        <v>765.41</v>
      </c>
      <c r="AC641">
        <v>6178.87</v>
      </c>
      <c r="AE641">
        <v>17432.88</v>
      </c>
      <c r="AF641">
        <v>21754</v>
      </c>
      <c r="AG641" t="s">
        <v>138</v>
      </c>
      <c r="AH641" t="s">
        <v>139</v>
      </c>
      <c r="AI641" t="s">
        <v>138</v>
      </c>
      <c r="AJ641" t="s">
        <v>139</v>
      </c>
      <c r="AK641">
        <v>1207</v>
      </c>
      <c r="AL641" t="s">
        <v>115</v>
      </c>
      <c r="AM641">
        <v>1</v>
      </c>
      <c r="AN641">
        <v>1</v>
      </c>
      <c r="AO641">
        <v>2024</v>
      </c>
      <c r="AP641">
        <v>2</v>
      </c>
    </row>
    <row r="642" spans="1:42" x14ac:dyDescent="0.25">
      <c r="A642">
        <v>1892</v>
      </c>
      <c r="B642">
        <v>96273</v>
      </c>
      <c r="C642">
        <v>10357</v>
      </c>
      <c r="D642">
        <v>28823</v>
      </c>
      <c r="E642">
        <v>55246</v>
      </c>
      <c r="F642">
        <v>192591</v>
      </c>
      <c r="G642">
        <v>12732</v>
      </c>
      <c r="H642">
        <v>36625</v>
      </c>
      <c r="I642">
        <v>8956</v>
      </c>
      <c r="J642">
        <v>58313</v>
      </c>
      <c r="K642">
        <v>250904</v>
      </c>
      <c r="L642">
        <v>156657</v>
      </c>
      <c r="M642">
        <v>11807</v>
      </c>
      <c r="N642">
        <v>20901</v>
      </c>
      <c r="O642">
        <v>4988</v>
      </c>
      <c r="P642">
        <v>194353</v>
      </c>
      <c r="Q642">
        <v>5788</v>
      </c>
      <c r="R642">
        <v>5557</v>
      </c>
      <c r="S642">
        <v>1117</v>
      </c>
      <c r="T642">
        <v>17343</v>
      </c>
      <c r="U642">
        <v>7256</v>
      </c>
      <c r="V642">
        <v>192</v>
      </c>
      <c r="W642">
        <v>67764</v>
      </c>
      <c r="X642">
        <v>105017</v>
      </c>
      <c r="Y642">
        <v>13712</v>
      </c>
      <c r="Z642">
        <v>30594</v>
      </c>
      <c r="AA642">
        <v>19798</v>
      </c>
      <c r="AB642">
        <v>4273</v>
      </c>
      <c r="AC642">
        <v>6775</v>
      </c>
      <c r="AD642">
        <v>17914</v>
      </c>
      <c r="AE642">
        <v>643340</v>
      </c>
      <c r="AF642">
        <v>19790</v>
      </c>
      <c r="AG642" t="s">
        <v>134</v>
      </c>
      <c r="AH642" t="s">
        <v>135</v>
      </c>
      <c r="AI642" t="s">
        <v>134</v>
      </c>
      <c r="AJ642" t="s">
        <v>135</v>
      </c>
      <c r="AK642">
        <v>10262</v>
      </c>
      <c r="AL642" t="s">
        <v>64</v>
      </c>
      <c r="AM642">
        <v>3</v>
      </c>
      <c r="AN642">
        <v>3</v>
      </c>
      <c r="AO642">
        <v>2024</v>
      </c>
      <c r="AP642">
        <v>2</v>
      </c>
    </row>
    <row r="643" spans="1:42" x14ac:dyDescent="0.25">
      <c r="A643">
        <v>1939.83</v>
      </c>
      <c r="B643">
        <v>23856.84</v>
      </c>
      <c r="C643">
        <v>7256.05</v>
      </c>
      <c r="D643">
        <v>55741.91</v>
      </c>
      <c r="E643">
        <v>15637.76</v>
      </c>
      <c r="F643">
        <v>104432.39</v>
      </c>
      <c r="G643">
        <v>6904.36</v>
      </c>
      <c r="H643">
        <v>22831.82</v>
      </c>
      <c r="I643">
        <v>9870.35</v>
      </c>
      <c r="J643">
        <v>39606.53</v>
      </c>
      <c r="K643">
        <v>144038.92000000001</v>
      </c>
      <c r="L643">
        <v>69.099999999999994</v>
      </c>
      <c r="M643">
        <v>4583.5</v>
      </c>
      <c r="N643">
        <v>27.3</v>
      </c>
      <c r="O643">
        <v>2133.7199999999998</v>
      </c>
      <c r="P643">
        <v>6813.61</v>
      </c>
      <c r="Q643">
        <v>0</v>
      </c>
      <c r="R643">
        <v>126.58</v>
      </c>
      <c r="S643">
        <v>279.25</v>
      </c>
      <c r="T643">
        <v>18825.14</v>
      </c>
      <c r="U643">
        <v>0</v>
      </c>
      <c r="V643">
        <v>0</v>
      </c>
      <c r="W643">
        <v>6898.12</v>
      </c>
      <c r="X643">
        <v>26129.09</v>
      </c>
      <c r="Y643">
        <v>0</v>
      </c>
      <c r="Z643">
        <v>11680.58</v>
      </c>
      <c r="AA643">
        <v>3463.6</v>
      </c>
      <c r="AB643">
        <v>0</v>
      </c>
      <c r="AC643">
        <v>395.64</v>
      </c>
      <c r="AD643">
        <v>0</v>
      </c>
      <c r="AE643">
        <v>192521.43</v>
      </c>
      <c r="AF643">
        <v>20427</v>
      </c>
      <c r="AG643" t="s">
        <v>116</v>
      </c>
      <c r="AH643" t="s">
        <v>117</v>
      </c>
      <c r="AI643" t="s">
        <v>116</v>
      </c>
      <c r="AJ643" t="s">
        <v>117</v>
      </c>
      <c r="AK643">
        <v>6918</v>
      </c>
      <c r="AL643" t="s">
        <v>44</v>
      </c>
      <c r="AM643">
        <v>2</v>
      </c>
      <c r="AN643">
        <v>2</v>
      </c>
      <c r="AO643">
        <v>2024</v>
      </c>
      <c r="AP643">
        <v>1</v>
      </c>
    </row>
    <row r="644" spans="1:42" x14ac:dyDescent="0.25">
      <c r="A644">
        <v>1940.52</v>
      </c>
      <c r="B644">
        <v>28111.09</v>
      </c>
      <c r="C644">
        <v>3304.01</v>
      </c>
      <c r="D644">
        <v>1404.65</v>
      </c>
      <c r="E644">
        <v>6779.59</v>
      </c>
      <c r="F644">
        <v>41539.85</v>
      </c>
      <c r="G644">
        <v>7051.29</v>
      </c>
      <c r="H644">
        <v>4534.26</v>
      </c>
      <c r="I644">
        <v>3108.62</v>
      </c>
      <c r="J644">
        <v>14694.17</v>
      </c>
      <c r="K644">
        <v>56234.02</v>
      </c>
      <c r="L644">
        <v>47123.91</v>
      </c>
      <c r="M644">
        <v>274.67</v>
      </c>
      <c r="N644">
        <v>1376.23</v>
      </c>
      <c r="O644">
        <v>246.5</v>
      </c>
      <c r="P644">
        <v>49021.31</v>
      </c>
      <c r="Q644">
        <v>18852.169999999998</v>
      </c>
      <c r="R644">
        <v>390.55</v>
      </c>
      <c r="S644">
        <v>1203.8699999999999</v>
      </c>
      <c r="T644">
        <v>2248.98</v>
      </c>
      <c r="U644">
        <v>0</v>
      </c>
      <c r="V644">
        <v>0</v>
      </c>
      <c r="W644">
        <v>1202.05</v>
      </c>
      <c r="X644">
        <v>23897.61</v>
      </c>
      <c r="Y644">
        <v>3048.89</v>
      </c>
      <c r="Z644">
        <v>27718.06</v>
      </c>
      <c r="AA644">
        <v>1795.1</v>
      </c>
      <c r="AB644">
        <v>0</v>
      </c>
      <c r="AC644">
        <v>11320.99</v>
      </c>
      <c r="AD644">
        <v>0</v>
      </c>
      <c r="AE644">
        <v>173035.96</v>
      </c>
      <c r="AF644">
        <v>22080</v>
      </c>
      <c r="AG644" t="s">
        <v>132</v>
      </c>
      <c r="AH644" t="s">
        <v>133</v>
      </c>
      <c r="AI644" t="s">
        <v>132</v>
      </c>
      <c r="AJ644" t="s">
        <v>133</v>
      </c>
      <c r="AK644">
        <v>1268</v>
      </c>
      <c r="AL644" t="s">
        <v>44</v>
      </c>
      <c r="AM644">
        <v>2</v>
      </c>
      <c r="AN644">
        <v>2</v>
      </c>
      <c r="AO644">
        <v>2024</v>
      </c>
      <c r="AP644">
        <v>1</v>
      </c>
    </row>
    <row r="645" spans="1:42" x14ac:dyDescent="0.25">
      <c r="A645">
        <v>1965.23</v>
      </c>
      <c r="B645">
        <v>27844.71</v>
      </c>
      <c r="C645">
        <v>3135.07</v>
      </c>
      <c r="D645">
        <v>393.36</v>
      </c>
      <c r="E645">
        <v>2468.79</v>
      </c>
      <c r="F645">
        <v>35807.14</v>
      </c>
      <c r="G645">
        <v>1231.96</v>
      </c>
      <c r="H645">
        <v>7453.72</v>
      </c>
      <c r="I645">
        <v>1662.1</v>
      </c>
      <c r="J645">
        <v>10347.77</v>
      </c>
      <c r="K645">
        <v>46154.91</v>
      </c>
      <c r="L645">
        <v>32721.53</v>
      </c>
      <c r="M645">
        <v>4645.59</v>
      </c>
      <c r="N645">
        <v>636.74</v>
      </c>
      <c r="O645">
        <v>410.02</v>
      </c>
      <c r="P645">
        <v>38413.870000000003</v>
      </c>
      <c r="Q645">
        <v>1029.97</v>
      </c>
      <c r="R645">
        <v>1399.31</v>
      </c>
      <c r="S645">
        <v>608.9</v>
      </c>
      <c r="T645">
        <v>1448.73</v>
      </c>
      <c r="U645">
        <v>0</v>
      </c>
      <c r="V645">
        <v>0</v>
      </c>
      <c r="W645">
        <v>29116.91</v>
      </c>
      <c r="X645">
        <v>33603.82</v>
      </c>
      <c r="Y645">
        <v>4242.6899999999996</v>
      </c>
      <c r="Z645">
        <v>17119.52</v>
      </c>
      <c r="AA645">
        <v>5323.88</v>
      </c>
      <c r="AB645">
        <v>3122.33</v>
      </c>
      <c r="AC645">
        <v>33344.79</v>
      </c>
      <c r="AD645">
        <v>0</v>
      </c>
      <c r="AE645">
        <v>181325.81</v>
      </c>
      <c r="AF645">
        <v>20416</v>
      </c>
      <c r="AG645" t="s">
        <v>128</v>
      </c>
      <c r="AH645" t="s">
        <v>129</v>
      </c>
      <c r="AI645" t="s">
        <v>128</v>
      </c>
      <c r="AJ645" t="s">
        <v>129</v>
      </c>
      <c r="AK645">
        <v>16831</v>
      </c>
      <c r="AL645" t="s">
        <v>50</v>
      </c>
      <c r="AM645">
        <v>3</v>
      </c>
      <c r="AN645">
        <v>3</v>
      </c>
      <c r="AO645">
        <v>2024</v>
      </c>
      <c r="AP645">
        <v>4</v>
      </c>
    </row>
    <row r="646" spans="1:42" x14ac:dyDescent="0.25">
      <c r="A646">
        <v>2019</v>
      </c>
      <c r="B646">
        <v>110061</v>
      </c>
      <c r="C646">
        <v>11990</v>
      </c>
      <c r="D646">
        <v>32113</v>
      </c>
      <c r="E646">
        <v>45946</v>
      </c>
      <c r="F646">
        <v>202129</v>
      </c>
      <c r="G646">
        <v>13961</v>
      </c>
      <c r="H646">
        <v>40610</v>
      </c>
      <c r="I646">
        <v>9879</v>
      </c>
      <c r="J646">
        <v>64450</v>
      </c>
      <c r="K646">
        <v>266579</v>
      </c>
      <c r="L646">
        <v>164597</v>
      </c>
      <c r="M646">
        <v>13419</v>
      </c>
      <c r="N646">
        <v>22037</v>
      </c>
      <c r="O646">
        <v>5154</v>
      </c>
      <c r="P646">
        <v>205207</v>
      </c>
      <c r="Q646">
        <v>6556</v>
      </c>
      <c r="R646">
        <v>5744</v>
      </c>
      <c r="S646">
        <v>1040</v>
      </c>
      <c r="T646">
        <v>14886</v>
      </c>
      <c r="U646">
        <v>6177</v>
      </c>
      <c r="V646">
        <v>177</v>
      </c>
      <c r="W646">
        <v>73214</v>
      </c>
      <c r="X646">
        <v>107794</v>
      </c>
      <c r="Y646">
        <v>14757</v>
      </c>
      <c r="Z646">
        <v>34861</v>
      </c>
      <c r="AA646">
        <v>22706</v>
      </c>
      <c r="AB646">
        <v>4152</v>
      </c>
      <c r="AC646">
        <v>13742</v>
      </c>
      <c r="AD646">
        <v>16248</v>
      </c>
      <c r="AE646">
        <v>686046</v>
      </c>
      <c r="AF646">
        <v>19790</v>
      </c>
      <c r="AG646" t="s">
        <v>134</v>
      </c>
      <c r="AH646" t="s">
        <v>135</v>
      </c>
      <c r="AI646" t="s">
        <v>134</v>
      </c>
      <c r="AJ646" t="s">
        <v>135</v>
      </c>
      <c r="AK646">
        <v>10262</v>
      </c>
      <c r="AL646" t="s">
        <v>64</v>
      </c>
      <c r="AM646">
        <v>3</v>
      </c>
      <c r="AN646">
        <v>3</v>
      </c>
      <c r="AO646">
        <v>2024</v>
      </c>
      <c r="AP646">
        <v>3</v>
      </c>
    </row>
    <row r="647" spans="1:42" x14ac:dyDescent="0.25">
      <c r="A647">
        <v>2024.91</v>
      </c>
      <c r="B647">
        <v>28471.1</v>
      </c>
      <c r="C647">
        <v>3570.79</v>
      </c>
      <c r="D647">
        <v>1637.96</v>
      </c>
      <c r="E647">
        <v>6819.08</v>
      </c>
      <c r="F647">
        <v>42523.83</v>
      </c>
      <c r="G647">
        <v>7366.47</v>
      </c>
      <c r="H647">
        <v>4803.57</v>
      </c>
      <c r="I647">
        <v>3241.76</v>
      </c>
      <c r="J647">
        <v>15411.8</v>
      </c>
      <c r="K647">
        <v>57935.63</v>
      </c>
      <c r="L647">
        <v>51117.89</v>
      </c>
      <c r="M647">
        <v>283.98</v>
      </c>
      <c r="N647">
        <v>1530.9</v>
      </c>
      <c r="O647">
        <v>281.61</v>
      </c>
      <c r="P647">
        <v>53214.38</v>
      </c>
      <c r="Q647">
        <v>13396.09</v>
      </c>
      <c r="R647">
        <v>369.9</v>
      </c>
      <c r="S647">
        <v>994.06</v>
      </c>
      <c r="T647">
        <v>1716.24</v>
      </c>
      <c r="U647">
        <v>0</v>
      </c>
      <c r="V647">
        <v>0</v>
      </c>
      <c r="W647">
        <v>1249.03</v>
      </c>
      <c r="X647">
        <v>17725.32</v>
      </c>
      <c r="Y647">
        <v>3872.4</v>
      </c>
      <c r="Z647">
        <v>28430.67</v>
      </c>
      <c r="AA647">
        <v>2568.17</v>
      </c>
      <c r="AB647">
        <v>0</v>
      </c>
      <c r="AC647">
        <v>17901.849999999999</v>
      </c>
      <c r="AD647">
        <v>0</v>
      </c>
      <c r="AE647">
        <v>181648.42</v>
      </c>
      <c r="AF647">
        <v>22080</v>
      </c>
      <c r="AG647" t="s">
        <v>132</v>
      </c>
      <c r="AH647" t="s">
        <v>133</v>
      </c>
      <c r="AI647" t="s">
        <v>132</v>
      </c>
      <c r="AJ647" t="s">
        <v>133</v>
      </c>
      <c r="AK647">
        <v>1268</v>
      </c>
      <c r="AL647" t="s">
        <v>44</v>
      </c>
      <c r="AM647">
        <v>2</v>
      </c>
      <c r="AN647">
        <v>2</v>
      </c>
      <c r="AO647">
        <v>2024</v>
      </c>
      <c r="AP647">
        <v>2</v>
      </c>
    </row>
    <row r="648" spans="1:42" x14ac:dyDescent="0.25">
      <c r="A648">
        <v>2024.91</v>
      </c>
      <c r="B648">
        <v>28633.95</v>
      </c>
      <c r="C648">
        <v>3906.22</v>
      </c>
      <c r="D648">
        <v>1732.13</v>
      </c>
      <c r="E648">
        <v>6226.63</v>
      </c>
      <c r="F648">
        <v>42523.83</v>
      </c>
      <c r="G648">
        <v>6648.51</v>
      </c>
      <c r="H648">
        <v>8368.41</v>
      </c>
      <c r="I648">
        <v>3241.76</v>
      </c>
      <c r="J648">
        <v>18258.68</v>
      </c>
      <c r="K648">
        <v>60782.52</v>
      </c>
      <c r="L648">
        <v>51117.89</v>
      </c>
      <c r="M648">
        <v>286.18</v>
      </c>
      <c r="N648">
        <v>1854.36</v>
      </c>
      <c r="O648">
        <v>300.10000000000002</v>
      </c>
      <c r="P648">
        <v>53558.52</v>
      </c>
      <c r="Q648">
        <v>11267.25</v>
      </c>
      <c r="R648">
        <v>577.26</v>
      </c>
      <c r="S648">
        <v>1143.17</v>
      </c>
      <c r="T648">
        <v>193.2</v>
      </c>
      <c r="U648">
        <v>0</v>
      </c>
      <c r="V648">
        <v>0</v>
      </c>
      <c r="W648">
        <v>1354.46</v>
      </c>
      <c r="X648">
        <v>14535.34</v>
      </c>
      <c r="Y648">
        <v>4219.32</v>
      </c>
      <c r="Z648">
        <v>32271.52</v>
      </c>
      <c r="AA648">
        <v>2811.11</v>
      </c>
      <c r="AB648">
        <v>0</v>
      </c>
      <c r="AC648">
        <v>25927.82</v>
      </c>
      <c r="AD648">
        <v>0</v>
      </c>
      <c r="AE648">
        <v>194106.14</v>
      </c>
      <c r="AF648">
        <v>22080</v>
      </c>
      <c r="AG648" t="s">
        <v>132</v>
      </c>
      <c r="AH648" t="s">
        <v>133</v>
      </c>
      <c r="AI648" t="s">
        <v>132</v>
      </c>
      <c r="AJ648" t="s">
        <v>133</v>
      </c>
      <c r="AK648">
        <v>1268</v>
      </c>
      <c r="AL648" t="s">
        <v>44</v>
      </c>
      <c r="AM648">
        <v>2</v>
      </c>
      <c r="AN648">
        <v>2</v>
      </c>
      <c r="AO648">
        <v>2024</v>
      </c>
      <c r="AP648">
        <v>3</v>
      </c>
    </row>
    <row r="649" spans="1:42" x14ac:dyDescent="0.25">
      <c r="A649">
        <v>2034.21</v>
      </c>
      <c r="B649">
        <v>76636.399999999994</v>
      </c>
      <c r="C649">
        <v>14925.13</v>
      </c>
      <c r="D649">
        <v>2373.8200000000002</v>
      </c>
      <c r="E649">
        <v>18868</v>
      </c>
      <c r="F649">
        <v>114837.56</v>
      </c>
      <c r="G649">
        <v>15254.18</v>
      </c>
      <c r="H649">
        <v>11520.06</v>
      </c>
      <c r="I649">
        <v>10563.14</v>
      </c>
      <c r="J649">
        <v>37337.379999999997</v>
      </c>
      <c r="K649">
        <v>152174.94</v>
      </c>
      <c r="L649">
        <v>0</v>
      </c>
      <c r="M649">
        <v>203.37</v>
      </c>
      <c r="N649">
        <v>0</v>
      </c>
      <c r="O649">
        <v>2950.76</v>
      </c>
      <c r="P649">
        <v>3154.13</v>
      </c>
      <c r="Q649">
        <v>0</v>
      </c>
      <c r="R649">
        <v>91.98</v>
      </c>
      <c r="S649">
        <v>922</v>
      </c>
      <c r="T649">
        <v>53218.34</v>
      </c>
      <c r="U649">
        <v>0</v>
      </c>
      <c r="V649">
        <v>0</v>
      </c>
      <c r="W649">
        <v>7939.65</v>
      </c>
      <c r="X649">
        <v>62171.97</v>
      </c>
      <c r="Y649">
        <v>0</v>
      </c>
      <c r="Z649">
        <v>32683.55</v>
      </c>
      <c r="AA649">
        <v>7051.53</v>
      </c>
      <c r="AB649">
        <v>0</v>
      </c>
      <c r="AC649">
        <v>1293.75</v>
      </c>
      <c r="AD649">
        <v>0</v>
      </c>
      <c r="AE649">
        <v>258529.87</v>
      </c>
      <c r="AF649">
        <v>20397</v>
      </c>
      <c r="AG649" t="s">
        <v>65</v>
      </c>
      <c r="AH649" t="s">
        <v>66</v>
      </c>
      <c r="AI649" t="s">
        <v>65</v>
      </c>
      <c r="AJ649" t="s">
        <v>66</v>
      </c>
      <c r="AK649">
        <v>7028</v>
      </c>
      <c r="AL649" t="s">
        <v>44</v>
      </c>
      <c r="AM649">
        <v>2</v>
      </c>
      <c r="AN649">
        <v>2</v>
      </c>
      <c r="AO649">
        <v>2024</v>
      </c>
      <c r="AP649">
        <v>1</v>
      </c>
    </row>
    <row r="650" spans="1:42" x14ac:dyDescent="0.25">
      <c r="A650">
        <v>2068</v>
      </c>
      <c r="B650">
        <v>103754</v>
      </c>
      <c r="C650">
        <v>11127</v>
      </c>
      <c r="D650">
        <v>30333</v>
      </c>
      <c r="E650">
        <v>37117</v>
      </c>
      <c r="F650">
        <v>184399</v>
      </c>
      <c r="G650">
        <v>12484</v>
      </c>
      <c r="H650">
        <v>39103</v>
      </c>
      <c r="I650">
        <v>9742</v>
      </c>
      <c r="J650">
        <v>61329</v>
      </c>
      <c r="K650">
        <v>245728</v>
      </c>
      <c r="L650">
        <v>170105</v>
      </c>
      <c r="M650">
        <v>14359</v>
      </c>
      <c r="N650">
        <v>20303</v>
      </c>
      <c r="O650">
        <v>6947</v>
      </c>
      <c r="P650">
        <v>211714</v>
      </c>
      <c r="Q650">
        <v>5237</v>
      </c>
      <c r="R650">
        <v>5318</v>
      </c>
      <c r="S650">
        <v>1031</v>
      </c>
      <c r="T650">
        <v>19103</v>
      </c>
      <c r="U650">
        <v>6879</v>
      </c>
      <c r="V650">
        <v>171</v>
      </c>
      <c r="W650">
        <v>68884</v>
      </c>
      <c r="X650">
        <v>106623</v>
      </c>
      <c r="Y650">
        <v>12721</v>
      </c>
      <c r="Z650">
        <v>35056</v>
      </c>
      <c r="AA650">
        <v>22948</v>
      </c>
      <c r="AB650">
        <v>5147</v>
      </c>
      <c r="AC650">
        <v>6803</v>
      </c>
      <c r="AD650">
        <v>20163</v>
      </c>
      <c r="AE650">
        <v>666903</v>
      </c>
      <c r="AF650">
        <v>19790</v>
      </c>
      <c r="AG650" t="s">
        <v>134</v>
      </c>
      <c r="AH650" t="s">
        <v>135</v>
      </c>
      <c r="AI650" t="s">
        <v>134</v>
      </c>
      <c r="AJ650" t="s">
        <v>135</v>
      </c>
      <c r="AK650">
        <v>10262</v>
      </c>
      <c r="AL650" t="s">
        <v>64</v>
      </c>
      <c r="AM650">
        <v>3</v>
      </c>
      <c r="AN650">
        <v>3</v>
      </c>
      <c r="AO650">
        <v>2024</v>
      </c>
      <c r="AP650">
        <v>1</v>
      </c>
    </row>
    <row r="651" spans="1:42" x14ac:dyDescent="0.25">
      <c r="A651">
        <v>2140.2600000000002</v>
      </c>
      <c r="B651">
        <v>21965.25</v>
      </c>
      <c r="C651">
        <v>7019.73</v>
      </c>
      <c r="D651">
        <v>83.48</v>
      </c>
      <c r="E651">
        <v>0</v>
      </c>
      <c r="F651">
        <v>31208.720000000001</v>
      </c>
      <c r="G651">
        <v>3337.67</v>
      </c>
      <c r="H651">
        <v>1212.3</v>
      </c>
      <c r="I651">
        <v>1783.63</v>
      </c>
      <c r="J651">
        <v>6333.6</v>
      </c>
      <c r="K651">
        <v>37542.31</v>
      </c>
      <c r="L651">
        <v>86.77</v>
      </c>
      <c r="M651">
        <v>959.44</v>
      </c>
      <c r="N651">
        <v>0</v>
      </c>
      <c r="O651">
        <v>0</v>
      </c>
      <c r="P651">
        <v>1046.21</v>
      </c>
      <c r="Q651">
        <v>0</v>
      </c>
      <c r="R651">
        <v>0</v>
      </c>
      <c r="S651">
        <v>1050.1600000000001</v>
      </c>
      <c r="T651">
        <v>0</v>
      </c>
      <c r="U651">
        <v>0</v>
      </c>
      <c r="V651">
        <v>0</v>
      </c>
      <c r="W651">
        <v>0</v>
      </c>
      <c r="X651">
        <v>1050.1600000000001</v>
      </c>
      <c r="Y651">
        <v>0</v>
      </c>
      <c r="Z651">
        <v>3177.98</v>
      </c>
      <c r="AA651">
        <v>7748.12</v>
      </c>
      <c r="AB651">
        <v>0</v>
      </c>
      <c r="AC651">
        <v>37193.160000000003</v>
      </c>
      <c r="AD651">
        <v>0</v>
      </c>
      <c r="AE651">
        <v>87757.96</v>
      </c>
      <c r="AF651">
        <v>20378</v>
      </c>
      <c r="AG651" t="s">
        <v>67</v>
      </c>
      <c r="AH651" t="s">
        <v>68</v>
      </c>
      <c r="AI651" t="s">
        <v>67</v>
      </c>
      <c r="AJ651" t="s">
        <v>68</v>
      </c>
      <c r="AK651">
        <v>6689</v>
      </c>
      <c r="AL651" t="s">
        <v>44</v>
      </c>
      <c r="AM651">
        <v>2</v>
      </c>
      <c r="AN651">
        <v>2</v>
      </c>
      <c r="AO651">
        <v>2024</v>
      </c>
      <c r="AP651">
        <v>4</v>
      </c>
    </row>
    <row r="652" spans="1:42" x14ac:dyDescent="0.25">
      <c r="A652">
        <v>2161</v>
      </c>
      <c r="B652">
        <v>117602</v>
      </c>
      <c r="C652">
        <v>13496</v>
      </c>
      <c r="D652">
        <v>33887</v>
      </c>
      <c r="E652">
        <v>53763</v>
      </c>
      <c r="F652">
        <v>220909</v>
      </c>
      <c r="G652">
        <v>13724</v>
      </c>
      <c r="H652">
        <v>46597</v>
      </c>
      <c r="I652">
        <v>10638</v>
      </c>
      <c r="J652">
        <v>70959</v>
      </c>
      <c r="K652">
        <v>291868</v>
      </c>
      <c r="L652">
        <v>166348</v>
      </c>
      <c r="M652">
        <v>12615</v>
      </c>
      <c r="N652">
        <v>22742</v>
      </c>
      <c r="O652">
        <v>6352</v>
      </c>
      <c r="P652">
        <v>208057</v>
      </c>
      <c r="Q652">
        <v>6036</v>
      </c>
      <c r="R652">
        <v>5396</v>
      </c>
      <c r="S652">
        <v>1247</v>
      </c>
      <c r="T652">
        <v>19966</v>
      </c>
      <c r="U652">
        <v>7322</v>
      </c>
      <c r="V652">
        <v>248</v>
      </c>
      <c r="W652">
        <v>78242</v>
      </c>
      <c r="X652">
        <v>118457</v>
      </c>
      <c r="Y652">
        <v>15111</v>
      </c>
      <c r="Z652">
        <v>36824</v>
      </c>
      <c r="AA652">
        <v>25614</v>
      </c>
      <c r="AB652">
        <v>4623</v>
      </c>
      <c r="AC652">
        <v>9187</v>
      </c>
      <c r="AD652">
        <v>17486</v>
      </c>
      <c r="AE652">
        <v>727227</v>
      </c>
      <c r="AF652">
        <v>19790</v>
      </c>
      <c r="AG652" t="s">
        <v>134</v>
      </c>
      <c r="AH652" t="s">
        <v>135</v>
      </c>
      <c r="AI652" t="s">
        <v>134</v>
      </c>
      <c r="AJ652" t="s">
        <v>135</v>
      </c>
      <c r="AK652">
        <v>10262</v>
      </c>
      <c r="AL652" t="s">
        <v>64</v>
      </c>
      <c r="AM652">
        <v>3</v>
      </c>
      <c r="AN652">
        <v>3</v>
      </c>
      <c r="AO652">
        <v>2024</v>
      </c>
      <c r="AP652">
        <v>4</v>
      </c>
    </row>
    <row r="653" spans="1:42" x14ac:dyDescent="0.25">
      <c r="A653">
        <v>2165.9</v>
      </c>
      <c r="B653">
        <v>8606.65</v>
      </c>
      <c r="C653">
        <v>2177.0100000000002</v>
      </c>
      <c r="D653">
        <v>1855.15</v>
      </c>
      <c r="E653">
        <v>0</v>
      </c>
      <c r="F653">
        <v>14804.72</v>
      </c>
      <c r="G653">
        <v>12.46</v>
      </c>
      <c r="H653">
        <v>1900.31</v>
      </c>
      <c r="I653">
        <v>1038.74</v>
      </c>
      <c r="J653">
        <v>2951.51</v>
      </c>
      <c r="K653">
        <v>17756.23</v>
      </c>
      <c r="L653">
        <v>5540.91</v>
      </c>
      <c r="M653">
        <v>5901.29</v>
      </c>
      <c r="N653">
        <v>517.99</v>
      </c>
      <c r="O653">
        <v>379.17</v>
      </c>
      <c r="P653">
        <v>12339.35</v>
      </c>
      <c r="Q653">
        <v>21.11</v>
      </c>
      <c r="R653">
        <v>528.95000000000005</v>
      </c>
      <c r="S653">
        <v>846.56</v>
      </c>
      <c r="T653">
        <v>0</v>
      </c>
      <c r="U653">
        <v>149.74</v>
      </c>
      <c r="V653">
        <v>0</v>
      </c>
      <c r="W653">
        <v>8536.08</v>
      </c>
      <c r="X653">
        <v>10082.44</v>
      </c>
      <c r="Y653">
        <v>613.54</v>
      </c>
      <c r="Z653">
        <v>1671.29</v>
      </c>
      <c r="AA653">
        <v>4567.3900000000003</v>
      </c>
      <c r="AB653">
        <v>4237.8599999999997</v>
      </c>
      <c r="AC653">
        <v>5864.19</v>
      </c>
      <c r="AD653">
        <v>0</v>
      </c>
      <c r="AE653">
        <v>57132.29</v>
      </c>
      <c r="AF653">
        <v>21161</v>
      </c>
      <c r="AG653" t="s">
        <v>152</v>
      </c>
      <c r="AH653" t="s">
        <v>153</v>
      </c>
      <c r="AI653" t="s">
        <v>152</v>
      </c>
      <c r="AJ653" t="s">
        <v>153</v>
      </c>
      <c r="AK653">
        <v>1130</v>
      </c>
      <c r="AL653" t="s">
        <v>44</v>
      </c>
      <c r="AM653">
        <v>2</v>
      </c>
      <c r="AN653">
        <v>2</v>
      </c>
      <c r="AO653">
        <v>2024</v>
      </c>
      <c r="AP653">
        <v>1</v>
      </c>
    </row>
    <row r="654" spans="1:42" x14ac:dyDescent="0.25">
      <c r="A654">
        <v>2181</v>
      </c>
      <c r="B654">
        <v>108580</v>
      </c>
      <c r="C654">
        <v>15327</v>
      </c>
      <c r="D654">
        <v>34685</v>
      </c>
      <c r="E654">
        <v>50180</v>
      </c>
      <c r="F654">
        <v>210953</v>
      </c>
      <c r="G654">
        <v>17272</v>
      </c>
      <c r="H654">
        <v>50752</v>
      </c>
      <c r="I654">
        <v>11853</v>
      </c>
      <c r="J654">
        <v>79877</v>
      </c>
      <c r="K654">
        <v>290830</v>
      </c>
      <c r="L654">
        <v>159809</v>
      </c>
      <c r="M654">
        <v>20026</v>
      </c>
      <c r="N654">
        <v>23802</v>
      </c>
      <c r="O654">
        <v>5604</v>
      </c>
      <c r="P654">
        <v>209241</v>
      </c>
      <c r="Q654">
        <v>7081</v>
      </c>
      <c r="R654">
        <v>6204</v>
      </c>
      <c r="S654">
        <v>1394</v>
      </c>
      <c r="T654">
        <v>23134</v>
      </c>
      <c r="U654">
        <v>6672</v>
      </c>
      <c r="V654">
        <v>191</v>
      </c>
      <c r="W654">
        <v>85920</v>
      </c>
      <c r="X654">
        <v>130596</v>
      </c>
      <c r="Y654">
        <v>15939</v>
      </c>
      <c r="Z654">
        <v>40435</v>
      </c>
      <c r="AA654">
        <v>35572</v>
      </c>
      <c r="AB654">
        <v>6503</v>
      </c>
      <c r="AC654">
        <v>14937</v>
      </c>
      <c r="AD654">
        <v>27700</v>
      </c>
      <c r="AE654">
        <v>771753</v>
      </c>
      <c r="AF654">
        <v>19790</v>
      </c>
      <c r="AG654" t="s">
        <v>134</v>
      </c>
      <c r="AH654" t="s">
        <v>135</v>
      </c>
      <c r="AI654" t="s">
        <v>134</v>
      </c>
      <c r="AJ654" t="s">
        <v>135</v>
      </c>
      <c r="AK654">
        <v>10260</v>
      </c>
      <c r="AL654" t="s">
        <v>50</v>
      </c>
      <c r="AM654">
        <v>3</v>
      </c>
      <c r="AN654">
        <v>3</v>
      </c>
      <c r="AO654">
        <v>2024</v>
      </c>
      <c r="AP654">
        <v>3</v>
      </c>
    </row>
    <row r="655" spans="1:42" x14ac:dyDescent="0.25">
      <c r="A655">
        <v>2219.67</v>
      </c>
      <c r="B655">
        <v>29310.27</v>
      </c>
      <c r="C655">
        <v>7960.78</v>
      </c>
      <c r="D655">
        <v>98.23</v>
      </c>
      <c r="E655">
        <v>0</v>
      </c>
      <c r="F655">
        <v>39588.949999999997</v>
      </c>
      <c r="G655">
        <v>4181.57</v>
      </c>
      <c r="H655">
        <v>2190.38</v>
      </c>
      <c r="I655">
        <v>2874.61</v>
      </c>
      <c r="J655">
        <v>9246.5499999999993</v>
      </c>
      <c r="K655">
        <v>48835.5</v>
      </c>
      <c r="L655">
        <v>809.92</v>
      </c>
      <c r="M655">
        <v>1503.59</v>
      </c>
      <c r="N655">
        <v>0</v>
      </c>
      <c r="O655">
        <v>0</v>
      </c>
      <c r="P655">
        <v>2313.5</v>
      </c>
      <c r="Q655">
        <v>0</v>
      </c>
      <c r="R655">
        <v>0</v>
      </c>
      <c r="S655">
        <v>1097.3499999999999</v>
      </c>
      <c r="T655">
        <v>0</v>
      </c>
      <c r="U655">
        <v>0</v>
      </c>
      <c r="V655">
        <v>0</v>
      </c>
      <c r="W655">
        <v>0</v>
      </c>
      <c r="X655">
        <v>1097.3499999999999</v>
      </c>
      <c r="Y655">
        <v>0</v>
      </c>
      <c r="Z655">
        <v>3707.25</v>
      </c>
      <c r="AA655">
        <v>9275.4699999999993</v>
      </c>
      <c r="AB655">
        <v>0</v>
      </c>
      <c r="AC655">
        <v>32893.360000000001</v>
      </c>
      <c r="AD655">
        <v>0</v>
      </c>
      <c r="AE655">
        <v>98122.44</v>
      </c>
      <c r="AF655">
        <v>20378</v>
      </c>
      <c r="AG655" t="s">
        <v>67</v>
      </c>
      <c r="AH655" t="s">
        <v>68</v>
      </c>
      <c r="AI655" t="s">
        <v>67</v>
      </c>
      <c r="AJ655" t="s">
        <v>68</v>
      </c>
      <c r="AK655">
        <v>6689</v>
      </c>
      <c r="AL655" t="s">
        <v>44</v>
      </c>
      <c r="AM655">
        <v>2</v>
      </c>
      <c r="AN655">
        <v>2</v>
      </c>
      <c r="AO655">
        <v>2024</v>
      </c>
      <c r="AP655">
        <v>1</v>
      </c>
    </row>
    <row r="656" spans="1:42" x14ac:dyDescent="0.25">
      <c r="A656">
        <v>2225.33</v>
      </c>
      <c r="B656">
        <v>3342.86</v>
      </c>
      <c r="F656">
        <v>5568.18</v>
      </c>
      <c r="H656">
        <v>1065.3499999999999</v>
      </c>
      <c r="I656">
        <v>380.19</v>
      </c>
      <c r="J656">
        <v>1445.55</v>
      </c>
      <c r="K656">
        <v>7013.73</v>
      </c>
      <c r="L656">
        <v>57.67</v>
      </c>
      <c r="M656">
        <v>1518.9</v>
      </c>
      <c r="P656">
        <v>1576.57</v>
      </c>
      <c r="R656">
        <v>22.21</v>
      </c>
      <c r="S656">
        <v>172.87</v>
      </c>
      <c r="T656">
        <v>1677.39</v>
      </c>
      <c r="W656">
        <v>688.71</v>
      </c>
      <c r="X656">
        <v>2561.1799999999998</v>
      </c>
      <c r="Y656">
        <v>0</v>
      </c>
      <c r="Z656">
        <v>185.91</v>
      </c>
      <c r="AA656">
        <v>837.5</v>
      </c>
      <c r="AC656">
        <v>5533.14</v>
      </c>
      <c r="AE656">
        <v>17708.02</v>
      </c>
      <c r="AF656">
        <v>21754</v>
      </c>
      <c r="AG656" t="s">
        <v>138</v>
      </c>
      <c r="AH656" t="s">
        <v>139</v>
      </c>
      <c r="AI656" t="s">
        <v>138</v>
      </c>
      <c r="AJ656" t="s">
        <v>139</v>
      </c>
      <c r="AK656">
        <v>1207</v>
      </c>
      <c r="AL656" t="s">
        <v>115</v>
      </c>
      <c r="AM656">
        <v>1</v>
      </c>
      <c r="AN656">
        <v>1</v>
      </c>
      <c r="AO656">
        <v>2024</v>
      </c>
      <c r="AP656">
        <v>3</v>
      </c>
    </row>
    <row r="657" spans="1:42" x14ac:dyDescent="0.25">
      <c r="A657">
        <v>2232.3000000000002</v>
      </c>
      <c r="B657">
        <v>41914.82</v>
      </c>
      <c r="C657">
        <v>33645.279999999999</v>
      </c>
      <c r="D657">
        <v>6340.52</v>
      </c>
      <c r="F657">
        <v>84132.91</v>
      </c>
      <c r="G657">
        <v>19377.54</v>
      </c>
      <c r="H657">
        <v>13946.44</v>
      </c>
      <c r="I657">
        <v>6385.88</v>
      </c>
      <c r="J657">
        <v>39709.86</v>
      </c>
      <c r="K657">
        <v>123842.78</v>
      </c>
      <c r="L657">
        <v>107118.64</v>
      </c>
      <c r="M657">
        <v>19879.38</v>
      </c>
      <c r="O657">
        <v>162.05000000000001</v>
      </c>
      <c r="P657">
        <v>127160.07</v>
      </c>
      <c r="Q657">
        <v>2225.2600000000002</v>
      </c>
      <c r="R657">
        <v>1230.1300000000001</v>
      </c>
      <c r="S657">
        <v>1216.2</v>
      </c>
      <c r="T657">
        <v>30803.439999999999</v>
      </c>
      <c r="V657">
        <v>10380.450000000001</v>
      </c>
      <c r="W657">
        <v>28141.03</v>
      </c>
      <c r="X657">
        <v>73996.52</v>
      </c>
      <c r="Y657">
        <v>4162.22</v>
      </c>
      <c r="Z657">
        <v>4513.54</v>
      </c>
      <c r="AA657">
        <v>20156.32</v>
      </c>
      <c r="AD657">
        <v>60018.38</v>
      </c>
      <c r="AE657">
        <v>413849.82</v>
      </c>
      <c r="AF657">
        <v>20370</v>
      </c>
      <c r="AG657" t="s">
        <v>81</v>
      </c>
      <c r="AH657" t="s">
        <v>82</v>
      </c>
      <c r="AI657" t="s">
        <v>81</v>
      </c>
      <c r="AJ657" t="s">
        <v>82</v>
      </c>
      <c r="AK657">
        <v>16683</v>
      </c>
      <c r="AL657" t="s">
        <v>47</v>
      </c>
      <c r="AM657">
        <v>3</v>
      </c>
      <c r="AN657">
        <v>3</v>
      </c>
      <c r="AO657">
        <v>2024</v>
      </c>
      <c r="AP657">
        <v>1</v>
      </c>
    </row>
    <row r="658" spans="1:42" x14ac:dyDescent="0.25">
      <c r="A658">
        <v>2467</v>
      </c>
      <c r="B658">
        <v>121474</v>
      </c>
      <c r="C658">
        <v>16452</v>
      </c>
      <c r="D658">
        <v>37594</v>
      </c>
      <c r="E658">
        <v>73396</v>
      </c>
      <c r="F658">
        <v>251383</v>
      </c>
      <c r="G658">
        <v>19417</v>
      </c>
      <c r="H658">
        <v>56762</v>
      </c>
      <c r="I658">
        <v>13173</v>
      </c>
      <c r="J658">
        <v>89352</v>
      </c>
      <c r="K658">
        <v>340735</v>
      </c>
      <c r="L658">
        <v>200745</v>
      </c>
      <c r="M658">
        <v>22502</v>
      </c>
      <c r="N658">
        <v>27261</v>
      </c>
      <c r="O658">
        <v>6506</v>
      </c>
      <c r="P658">
        <v>257014</v>
      </c>
      <c r="Q658">
        <v>7549</v>
      </c>
      <c r="R658">
        <v>7248</v>
      </c>
      <c r="S658">
        <v>1901</v>
      </c>
      <c r="T658">
        <v>34411</v>
      </c>
      <c r="U658">
        <v>9464</v>
      </c>
      <c r="V658">
        <v>251</v>
      </c>
      <c r="W658">
        <v>97797</v>
      </c>
      <c r="X658">
        <v>158621</v>
      </c>
      <c r="Y658">
        <v>17885</v>
      </c>
      <c r="Z658">
        <v>43769</v>
      </c>
      <c r="AA658">
        <v>40076</v>
      </c>
      <c r="AB658">
        <v>8648</v>
      </c>
      <c r="AC658">
        <v>8946</v>
      </c>
      <c r="AD658">
        <v>48845</v>
      </c>
      <c r="AE658">
        <v>924539</v>
      </c>
      <c r="AF658">
        <v>19790</v>
      </c>
      <c r="AG658" t="s">
        <v>134</v>
      </c>
      <c r="AH658" t="s">
        <v>135</v>
      </c>
      <c r="AI658" t="s">
        <v>134</v>
      </c>
      <c r="AJ658" t="s">
        <v>135</v>
      </c>
      <c r="AK658">
        <v>10260</v>
      </c>
      <c r="AL658" t="s">
        <v>50</v>
      </c>
      <c r="AM658">
        <v>3</v>
      </c>
      <c r="AN658">
        <v>3</v>
      </c>
      <c r="AO658">
        <v>2024</v>
      </c>
      <c r="AP658">
        <v>2</v>
      </c>
    </row>
    <row r="659" spans="1:42" x14ac:dyDescent="0.25">
      <c r="A659">
        <v>2542.59</v>
      </c>
      <c r="B659">
        <v>2805.31</v>
      </c>
      <c r="C659">
        <v>422.47</v>
      </c>
      <c r="D659">
        <v>2084.08</v>
      </c>
      <c r="E659">
        <v>176.71</v>
      </c>
      <c r="F659">
        <v>8031.15</v>
      </c>
      <c r="G659">
        <v>155.97</v>
      </c>
      <c r="H659">
        <v>616.19000000000005</v>
      </c>
      <c r="I659">
        <v>498.26</v>
      </c>
      <c r="J659">
        <v>1270.4100000000001</v>
      </c>
      <c r="K659">
        <v>9301.56</v>
      </c>
      <c r="L659">
        <v>2603.7600000000002</v>
      </c>
      <c r="M659">
        <v>733.02</v>
      </c>
      <c r="N659">
        <v>29.08</v>
      </c>
      <c r="O659">
        <v>0</v>
      </c>
      <c r="P659">
        <v>3365.86</v>
      </c>
      <c r="Q659">
        <v>1162.23</v>
      </c>
      <c r="R659">
        <v>186.5</v>
      </c>
      <c r="S659">
        <v>417.83</v>
      </c>
      <c r="T659">
        <v>110.62</v>
      </c>
      <c r="U659">
        <v>342.56</v>
      </c>
      <c r="V659">
        <v>0</v>
      </c>
      <c r="W659">
        <v>343.62</v>
      </c>
      <c r="X659">
        <v>2563.36</v>
      </c>
      <c r="Y659">
        <v>559.51</v>
      </c>
      <c r="Z659">
        <v>4585.8599999999997</v>
      </c>
      <c r="AA659">
        <v>301.76</v>
      </c>
      <c r="AB659">
        <v>115.71</v>
      </c>
      <c r="AC659">
        <v>3879.96</v>
      </c>
      <c r="AD659">
        <v>0</v>
      </c>
      <c r="AE659">
        <v>24673.59</v>
      </c>
      <c r="AF659">
        <v>20401</v>
      </c>
      <c r="AG659" t="s">
        <v>79</v>
      </c>
      <c r="AH659" t="s">
        <v>80</v>
      </c>
      <c r="AI659" t="s">
        <v>79</v>
      </c>
      <c r="AJ659" t="s">
        <v>80</v>
      </c>
      <c r="AK659">
        <v>6888</v>
      </c>
      <c r="AL659" t="s">
        <v>44</v>
      </c>
      <c r="AM659">
        <v>2</v>
      </c>
      <c r="AN659">
        <v>2</v>
      </c>
      <c r="AO659">
        <v>2024</v>
      </c>
      <c r="AP659">
        <v>4</v>
      </c>
    </row>
    <row r="660" spans="1:42" x14ac:dyDescent="0.25">
      <c r="A660">
        <v>2607.9299999999998</v>
      </c>
      <c r="B660">
        <v>23248.78</v>
      </c>
      <c r="C660">
        <v>7780.87</v>
      </c>
      <c r="D660">
        <v>79.680000000000007</v>
      </c>
      <c r="E660">
        <v>0</v>
      </c>
      <c r="F660">
        <v>33717.26</v>
      </c>
      <c r="G660">
        <v>2782.63</v>
      </c>
      <c r="H660">
        <v>1395.37</v>
      </c>
      <c r="I660">
        <v>2181.46</v>
      </c>
      <c r="J660">
        <v>6359.46</v>
      </c>
      <c r="K660">
        <v>40076.720000000001</v>
      </c>
      <c r="L660">
        <v>710.3</v>
      </c>
      <c r="M660">
        <v>1638.82</v>
      </c>
      <c r="N660">
        <v>0</v>
      </c>
      <c r="O660">
        <v>0</v>
      </c>
      <c r="P660">
        <v>2349.12</v>
      </c>
      <c r="Q660">
        <v>0</v>
      </c>
      <c r="R660">
        <v>0</v>
      </c>
      <c r="S660">
        <v>659.47</v>
      </c>
      <c r="T660">
        <v>0</v>
      </c>
      <c r="U660">
        <v>0</v>
      </c>
      <c r="V660">
        <v>0</v>
      </c>
      <c r="W660">
        <v>0</v>
      </c>
      <c r="X660">
        <v>659.47</v>
      </c>
      <c r="Y660">
        <v>-34.44</v>
      </c>
      <c r="Z660">
        <v>2911.49</v>
      </c>
      <c r="AA660">
        <v>6973.49</v>
      </c>
      <c r="AB660">
        <v>0</v>
      </c>
      <c r="AC660">
        <v>37169.480000000003</v>
      </c>
      <c r="AD660">
        <v>0</v>
      </c>
      <c r="AE660">
        <v>90105.34</v>
      </c>
      <c r="AF660">
        <v>20378</v>
      </c>
      <c r="AG660" t="s">
        <v>67</v>
      </c>
      <c r="AH660" t="s">
        <v>68</v>
      </c>
      <c r="AI660" t="s">
        <v>67</v>
      </c>
      <c r="AJ660" t="s">
        <v>68</v>
      </c>
      <c r="AK660">
        <v>6689</v>
      </c>
      <c r="AL660" t="s">
        <v>44</v>
      </c>
      <c r="AM660">
        <v>2</v>
      </c>
      <c r="AN660">
        <v>2</v>
      </c>
      <c r="AO660">
        <v>2024</v>
      </c>
      <c r="AP660">
        <v>3</v>
      </c>
    </row>
    <row r="661" spans="1:42" x14ac:dyDescent="0.25">
      <c r="A661">
        <v>2619.02</v>
      </c>
      <c r="B661">
        <v>2294.7399999999998</v>
      </c>
      <c r="C661">
        <v>334.09</v>
      </c>
      <c r="D661">
        <v>2222.88</v>
      </c>
      <c r="E661">
        <v>162.12</v>
      </c>
      <c r="F661">
        <v>7632.86</v>
      </c>
      <c r="G661">
        <v>148.05000000000001</v>
      </c>
      <c r="H661">
        <v>727.65</v>
      </c>
      <c r="I661">
        <v>564.69000000000005</v>
      </c>
      <c r="J661">
        <v>1440.39</v>
      </c>
      <c r="K661">
        <v>9073.25</v>
      </c>
      <c r="L661">
        <v>2491.4499999999998</v>
      </c>
      <c r="M661">
        <v>370.34</v>
      </c>
      <c r="N661">
        <v>51.2</v>
      </c>
      <c r="O661">
        <v>0</v>
      </c>
      <c r="P661">
        <v>2912.99</v>
      </c>
      <c r="Q661">
        <v>1046.3900000000001</v>
      </c>
      <c r="R661">
        <v>190.84</v>
      </c>
      <c r="S661">
        <v>341.44</v>
      </c>
      <c r="T661">
        <v>126.91</v>
      </c>
      <c r="U661">
        <v>257.10000000000002</v>
      </c>
      <c r="V661">
        <v>0</v>
      </c>
      <c r="W661">
        <v>529.33000000000004</v>
      </c>
      <c r="X661">
        <v>2492</v>
      </c>
      <c r="Y661">
        <v>554.03</v>
      </c>
      <c r="Z661">
        <v>4105.6899999999996</v>
      </c>
      <c r="AA661">
        <v>217.2</v>
      </c>
      <c r="AB661">
        <v>110.65</v>
      </c>
      <c r="AC661">
        <v>3441.98</v>
      </c>
      <c r="AD661">
        <v>0</v>
      </c>
      <c r="AE661">
        <v>22907.78</v>
      </c>
      <c r="AF661">
        <v>20401</v>
      </c>
      <c r="AG661" t="s">
        <v>79</v>
      </c>
      <c r="AH661" t="s">
        <v>80</v>
      </c>
      <c r="AI661" t="s">
        <v>79</v>
      </c>
      <c r="AJ661" t="s">
        <v>80</v>
      </c>
      <c r="AK661">
        <v>6888</v>
      </c>
      <c r="AL661" t="s">
        <v>44</v>
      </c>
      <c r="AM661">
        <v>2</v>
      </c>
      <c r="AN661">
        <v>2</v>
      </c>
      <c r="AO661">
        <v>2024</v>
      </c>
      <c r="AP661">
        <v>2</v>
      </c>
    </row>
    <row r="662" spans="1:42" x14ac:dyDescent="0.25">
      <c r="A662">
        <v>2625.47</v>
      </c>
      <c r="B662">
        <v>2776.04</v>
      </c>
      <c r="C662">
        <v>416.68</v>
      </c>
      <c r="D662">
        <v>2351.9899999999998</v>
      </c>
      <c r="E662">
        <v>175.7</v>
      </c>
      <c r="F662">
        <v>8345.8799999999992</v>
      </c>
      <c r="G662">
        <v>166.38</v>
      </c>
      <c r="H662">
        <v>759.42</v>
      </c>
      <c r="I662">
        <v>549.16</v>
      </c>
      <c r="J662">
        <v>1474.97</v>
      </c>
      <c r="K662">
        <v>9820.85</v>
      </c>
      <c r="L662">
        <v>2803.27</v>
      </c>
      <c r="M662">
        <v>450.57</v>
      </c>
      <c r="N662">
        <v>50.94</v>
      </c>
      <c r="O662">
        <v>0</v>
      </c>
      <c r="P662">
        <v>3304.78</v>
      </c>
      <c r="Q662">
        <v>1114.78</v>
      </c>
      <c r="R662">
        <v>157.1</v>
      </c>
      <c r="S662">
        <v>159.97</v>
      </c>
      <c r="T662">
        <v>195.26</v>
      </c>
      <c r="U662">
        <v>224.64</v>
      </c>
      <c r="V662">
        <v>0</v>
      </c>
      <c r="W662">
        <v>369.56</v>
      </c>
      <c r="X662">
        <v>2221.31</v>
      </c>
      <c r="Y662">
        <v>612.14</v>
      </c>
      <c r="Z662">
        <v>4319.6899999999996</v>
      </c>
      <c r="AA662">
        <v>278.99</v>
      </c>
      <c r="AB662">
        <v>115.7</v>
      </c>
      <c r="AC662">
        <v>4228.16</v>
      </c>
      <c r="AD662">
        <v>0</v>
      </c>
      <c r="AE662">
        <v>24901.62</v>
      </c>
      <c r="AF662">
        <v>20401</v>
      </c>
      <c r="AG662" t="s">
        <v>79</v>
      </c>
      <c r="AH662" t="s">
        <v>80</v>
      </c>
      <c r="AI662" t="s">
        <v>79</v>
      </c>
      <c r="AJ662" t="s">
        <v>80</v>
      </c>
      <c r="AK662">
        <v>6888</v>
      </c>
      <c r="AL662" t="s">
        <v>44</v>
      </c>
      <c r="AM662">
        <v>2</v>
      </c>
      <c r="AN662">
        <v>2</v>
      </c>
      <c r="AO662">
        <v>2024</v>
      </c>
      <c r="AP662">
        <v>3</v>
      </c>
    </row>
    <row r="663" spans="1:42" x14ac:dyDescent="0.25">
      <c r="A663">
        <v>2665.34</v>
      </c>
      <c r="B663">
        <v>2229.14</v>
      </c>
      <c r="C663">
        <v>287.32</v>
      </c>
      <c r="D663">
        <v>1938.28</v>
      </c>
      <c r="E663">
        <v>152.04</v>
      </c>
      <c r="F663">
        <v>7272.11</v>
      </c>
      <c r="G663">
        <v>141.16</v>
      </c>
      <c r="H663">
        <v>435.22</v>
      </c>
      <c r="I663">
        <v>575.39</v>
      </c>
      <c r="J663">
        <v>1151.77</v>
      </c>
      <c r="K663">
        <v>8423.8799999999992</v>
      </c>
      <c r="L663">
        <v>2519.16</v>
      </c>
      <c r="M663">
        <v>446.73</v>
      </c>
      <c r="N663">
        <v>25.72</v>
      </c>
      <c r="O663">
        <v>0</v>
      </c>
      <c r="P663">
        <v>2991.62</v>
      </c>
      <c r="Q663">
        <v>934.77</v>
      </c>
      <c r="R663">
        <v>184.96</v>
      </c>
      <c r="S663">
        <v>304.52</v>
      </c>
      <c r="T663">
        <v>29.7</v>
      </c>
      <c r="U663">
        <v>294.11</v>
      </c>
      <c r="V663">
        <v>0</v>
      </c>
      <c r="W663">
        <v>511.91</v>
      </c>
      <c r="X663">
        <v>2259.9699999999998</v>
      </c>
      <c r="Y663">
        <v>573.1</v>
      </c>
      <c r="Z663">
        <v>4135.75</v>
      </c>
      <c r="AA663">
        <v>220</v>
      </c>
      <c r="AB663">
        <v>127.26</v>
      </c>
      <c r="AC663">
        <v>2933.94</v>
      </c>
      <c r="AD663">
        <v>0</v>
      </c>
      <c r="AE663">
        <v>21665.5</v>
      </c>
      <c r="AF663">
        <v>20401</v>
      </c>
      <c r="AG663" t="s">
        <v>79</v>
      </c>
      <c r="AH663" t="s">
        <v>80</v>
      </c>
      <c r="AI663" t="s">
        <v>79</v>
      </c>
      <c r="AJ663" t="s">
        <v>80</v>
      </c>
      <c r="AK663">
        <v>6888</v>
      </c>
      <c r="AL663" t="s">
        <v>44</v>
      </c>
      <c r="AM663">
        <v>2</v>
      </c>
      <c r="AN663">
        <v>2</v>
      </c>
      <c r="AO663">
        <v>2024</v>
      </c>
      <c r="AP663">
        <v>1</v>
      </c>
    </row>
    <row r="664" spans="1:42" x14ac:dyDescent="0.25">
      <c r="A664">
        <v>2666.55</v>
      </c>
      <c r="B664">
        <v>4307.8599999999997</v>
      </c>
      <c r="F664">
        <v>6974.4</v>
      </c>
      <c r="H664">
        <v>1363.81</v>
      </c>
      <c r="I664">
        <v>401.39</v>
      </c>
      <c r="J664">
        <v>1765.19</v>
      </c>
      <c r="K664">
        <v>8739.6</v>
      </c>
      <c r="L664">
        <v>36.44</v>
      </c>
      <c r="M664">
        <v>1716.9</v>
      </c>
      <c r="P664">
        <v>1753.34</v>
      </c>
      <c r="R664">
        <v>23.52</v>
      </c>
      <c r="S664">
        <v>302.62</v>
      </c>
      <c r="T664">
        <v>498.83</v>
      </c>
      <c r="W664">
        <v>910.2</v>
      </c>
      <c r="X664">
        <v>1735.16</v>
      </c>
      <c r="Y664">
        <v>-20.440000000000001</v>
      </c>
      <c r="Z664">
        <v>205.81</v>
      </c>
      <c r="AA664">
        <v>889.21</v>
      </c>
      <c r="AB664">
        <v>25</v>
      </c>
      <c r="AC664">
        <v>7115</v>
      </c>
      <c r="AE664">
        <v>20442.669999999998</v>
      </c>
      <c r="AF664">
        <v>21754</v>
      </c>
      <c r="AG664" t="s">
        <v>138</v>
      </c>
      <c r="AH664" t="s">
        <v>139</v>
      </c>
      <c r="AI664" t="s">
        <v>138</v>
      </c>
      <c r="AJ664" t="s">
        <v>139</v>
      </c>
      <c r="AK664">
        <v>1207</v>
      </c>
      <c r="AL664" t="s">
        <v>115</v>
      </c>
      <c r="AM664">
        <v>1</v>
      </c>
      <c r="AN664">
        <v>1</v>
      </c>
      <c r="AO664">
        <v>2024</v>
      </c>
      <c r="AP664">
        <v>4</v>
      </c>
    </row>
    <row r="665" spans="1:42" x14ac:dyDescent="0.25">
      <c r="A665">
        <v>2854</v>
      </c>
      <c r="B665">
        <v>129859</v>
      </c>
      <c r="C665">
        <v>19933</v>
      </c>
      <c r="D665">
        <v>44760</v>
      </c>
      <c r="E665">
        <v>71619</v>
      </c>
      <c r="F665">
        <v>269025</v>
      </c>
      <c r="G665">
        <v>19831</v>
      </c>
      <c r="H665">
        <v>67498</v>
      </c>
      <c r="I665">
        <v>15040</v>
      </c>
      <c r="J665">
        <v>102369</v>
      </c>
      <c r="K665">
        <v>371394</v>
      </c>
      <c r="L665">
        <v>173228</v>
      </c>
      <c r="M665">
        <v>20516</v>
      </c>
      <c r="N665">
        <v>30039</v>
      </c>
      <c r="O665">
        <v>8398</v>
      </c>
      <c r="P665">
        <v>232181</v>
      </c>
      <c r="Q665">
        <v>7973</v>
      </c>
      <c r="R665">
        <v>7127</v>
      </c>
      <c r="S665">
        <v>1930</v>
      </c>
      <c r="T665">
        <v>33526</v>
      </c>
      <c r="U665">
        <v>9671</v>
      </c>
      <c r="V665">
        <v>327</v>
      </c>
      <c r="W665">
        <v>109642</v>
      </c>
      <c r="X665">
        <v>170196</v>
      </c>
      <c r="Y665">
        <v>19959</v>
      </c>
      <c r="Z665">
        <v>51084</v>
      </c>
      <c r="AA665">
        <v>43438</v>
      </c>
      <c r="AB665">
        <v>7841</v>
      </c>
      <c r="AC665">
        <v>12233</v>
      </c>
      <c r="AD665">
        <v>34995</v>
      </c>
      <c r="AE665">
        <v>943321</v>
      </c>
      <c r="AF665">
        <v>19790</v>
      </c>
      <c r="AG665" t="s">
        <v>134</v>
      </c>
      <c r="AH665" t="s">
        <v>135</v>
      </c>
      <c r="AI665" t="s">
        <v>134</v>
      </c>
      <c r="AJ665" t="s">
        <v>135</v>
      </c>
      <c r="AK665">
        <v>10260</v>
      </c>
      <c r="AL665" t="s">
        <v>50</v>
      </c>
      <c r="AM665">
        <v>3</v>
      </c>
      <c r="AN665">
        <v>3</v>
      </c>
      <c r="AO665">
        <v>2024</v>
      </c>
      <c r="AP665">
        <v>4</v>
      </c>
    </row>
    <row r="666" spans="1:42" x14ac:dyDescent="0.25">
      <c r="A666">
        <v>3100</v>
      </c>
      <c r="B666">
        <v>299140.59000000003</v>
      </c>
      <c r="C666">
        <v>24129.39</v>
      </c>
      <c r="D666">
        <v>79300.740000000005</v>
      </c>
      <c r="E666">
        <v>62673.35</v>
      </c>
      <c r="F666">
        <v>468344.07</v>
      </c>
      <c r="G666">
        <v>36425.230000000003</v>
      </c>
      <c r="H666">
        <v>101345.8</v>
      </c>
      <c r="I666">
        <v>27501.59</v>
      </c>
      <c r="J666">
        <v>165272.62</v>
      </c>
      <c r="K666">
        <v>633616.68999999994</v>
      </c>
      <c r="L666">
        <v>361720.22</v>
      </c>
      <c r="M666">
        <v>19725.240000000002</v>
      </c>
      <c r="N666">
        <v>28151.32</v>
      </c>
      <c r="O666">
        <v>7183.52</v>
      </c>
      <c r="P666">
        <v>416780.31</v>
      </c>
      <c r="Q666">
        <v>14167.69</v>
      </c>
      <c r="R666">
        <v>1542.13</v>
      </c>
      <c r="S666">
        <v>6097.64</v>
      </c>
      <c r="T666">
        <v>116393.52</v>
      </c>
      <c r="U666">
        <v>5313.85</v>
      </c>
      <c r="V666">
        <v>0</v>
      </c>
      <c r="W666">
        <v>179444.74</v>
      </c>
      <c r="X666">
        <v>322959.57</v>
      </c>
      <c r="Y666">
        <v>41454.910000000003</v>
      </c>
      <c r="Z666">
        <v>79337.52</v>
      </c>
      <c r="AA666">
        <v>108989.96</v>
      </c>
      <c r="AB666">
        <v>12486.8</v>
      </c>
      <c r="AC666">
        <v>13562.31</v>
      </c>
      <c r="AD666">
        <v>423.48</v>
      </c>
      <c r="AE666">
        <v>1629611.54</v>
      </c>
      <c r="AF666">
        <v>20409</v>
      </c>
      <c r="AG666" t="s">
        <v>95</v>
      </c>
      <c r="AH666" t="s">
        <v>96</v>
      </c>
      <c r="AI666" t="s">
        <v>95</v>
      </c>
      <c r="AJ666" t="s">
        <v>96</v>
      </c>
      <c r="AK666">
        <v>6673</v>
      </c>
      <c r="AL666" t="s">
        <v>44</v>
      </c>
      <c r="AM666">
        <v>3</v>
      </c>
      <c r="AN666">
        <v>3</v>
      </c>
      <c r="AO666">
        <v>2024</v>
      </c>
      <c r="AP666">
        <v>4</v>
      </c>
    </row>
    <row r="667" spans="1:42" x14ac:dyDescent="0.25">
      <c r="A667">
        <v>3239.14</v>
      </c>
      <c r="B667">
        <v>96666.61</v>
      </c>
      <c r="C667">
        <v>18457.86</v>
      </c>
      <c r="D667">
        <v>23659.38</v>
      </c>
      <c r="E667">
        <v>22065.48</v>
      </c>
      <c r="F667">
        <v>164088.48000000001</v>
      </c>
      <c r="G667">
        <v>15019.07</v>
      </c>
      <c r="H667">
        <v>40395.199999999997</v>
      </c>
      <c r="I667">
        <v>10111.82</v>
      </c>
      <c r="J667">
        <v>65526.09</v>
      </c>
      <c r="K667">
        <v>229614.56</v>
      </c>
      <c r="L667">
        <v>125873</v>
      </c>
      <c r="M667">
        <v>7409.64</v>
      </c>
      <c r="N667">
        <v>16946.509999999998</v>
      </c>
      <c r="O667">
        <v>3610.48</v>
      </c>
      <c r="P667">
        <v>153839.62</v>
      </c>
      <c r="Q667">
        <v>6691.21</v>
      </c>
      <c r="R667">
        <v>2662.76</v>
      </c>
      <c r="S667">
        <v>1217.32</v>
      </c>
      <c r="T667">
        <v>45756.14</v>
      </c>
      <c r="U667">
        <v>1264.82</v>
      </c>
      <c r="V667">
        <v>1121</v>
      </c>
      <c r="W667">
        <v>67224.600000000006</v>
      </c>
      <c r="X667">
        <v>125937.85</v>
      </c>
      <c r="Y667">
        <v>13472.82</v>
      </c>
      <c r="Z667">
        <v>47562.36</v>
      </c>
      <c r="AA667">
        <v>29131.41</v>
      </c>
      <c r="AB667">
        <v>2059.7199999999998</v>
      </c>
      <c r="AC667">
        <v>41867.879999999997</v>
      </c>
      <c r="AD667">
        <v>1756.34</v>
      </c>
      <c r="AE667">
        <v>645242.56999999995</v>
      </c>
      <c r="AF667">
        <v>19690</v>
      </c>
      <c r="AG667" t="s">
        <v>126</v>
      </c>
      <c r="AH667" t="s">
        <v>127</v>
      </c>
      <c r="AI667" t="s">
        <v>126</v>
      </c>
      <c r="AJ667" t="s">
        <v>127</v>
      </c>
      <c r="AK667">
        <v>5375</v>
      </c>
      <c r="AL667" t="s">
        <v>44</v>
      </c>
      <c r="AM667">
        <v>3</v>
      </c>
      <c r="AN667">
        <v>3</v>
      </c>
      <c r="AO667">
        <v>2024</v>
      </c>
      <c r="AP667">
        <v>4</v>
      </c>
    </row>
    <row r="668" spans="1:42" x14ac:dyDescent="0.25">
      <c r="A668">
        <v>3264.61</v>
      </c>
      <c r="B668">
        <v>186910.25</v>
      </c>
      <c r="C668">
        <v>15666.78</v>
      </c>
      <c r="D668">
        <v>67233.31</v>
      </c>
      <c r="E668">
        <v>68213.820000000007</v>
      </c>
      <c r="F668">
        <v>341288.77</v>
      </c>
      <c r="G668">
        <v>30116.82</v>
      </c>
      <c r="H668">
        <v>93454.41</v>
      </c>
      <c r="I668">
        <v>33169.31</v>
      </c>
      <c r="J668">
        <v>156740.53</v>
      </c>
      <c r="K668">
        <v>498029.3</v>
      </c>
      <c r="L668">
        <v>333579.28999999998</v>
      </c>
      <c r="M668">
        <v>27704.82</v>
      </c>
      <c r="N668">
        <v>33647.78</v>
      </c>
      <c r="O668">
        <v>10038.15</v>
      </c>
      <c r="P668">
        <v>404970.04</v>
      </c>
      <c r="Q668">
        <v>6607.87</v>
      </c>
      <c r="R668">
        <v>27060.46</v>
      </c>
      <c r="S668">
        <v>3273.12</v>
      </c>
      <c r="T668">
        <v>65829.47</v>
      </c>
      <c r="U668">
        <v>15355.07</v>
      </c>
      <c r="V668">
        <v>309.14</v>
      </c>
      <c r="W668">
        <v>115996.43</v>
      </c>
      <c r="X668">
        <v>234431.56</v>
      </c>
      <c r="Y668">
        <v>33935.040000000001</v>
      </c>
      <c r="Z668">
        <v>54820.639999999999</v>
      </c>
      <c r="AA668">
        <v>77300.95</v>
      </c>
      <c r="AB668">
        <v>1740.22</v>
      </c>
      <c r="AC668">
        <v>18034.2</v>
      </c>
      <c r="AD668">
        <v>57936.32</v>
      </c>
      <c r="AE668">
        <v>1381198.27</v>
      </c>
      <c r="AF668">
        <v>19977</v>
      </c>
      <c r="AG668" t="s">
        <v>142</v>
      </c>
      <c r="AH668" t="s">
        <v>143</v>
      </c>
      <c r="AI668" t="s">
        <v>142</v>
      </c>
      <c r="AJ668" t="s">
        <v>143</v>
      </c>
      <c r="AK668">
        <v>10876</v>
      </c>
      <c r="AL668" t="s">
        <v>50</v>
      </c>
      <c r="AM668">
        <v>3</v>
      </c>
      <c r="AN668">
        <v>3</v>
      </c>
      <c r="AO668">
        <v>2024</v>
      </c>
      <c r="AP668">
        <v>1</v>
      </c>
    </row>
    <row r="669" spans="1:42" x14ac:dyDescent="0.25">
      <c r="A669">
        <v>3350.62</v>
      </c>
      <c r="B669">
        <v>86493.88</v>
      </c>
      <c r="C669">
        <v>15938.67</v>
      </c>
      <c r="D669">
        <v>20030.25</v>
      </c>
      <c r="E669">
        <v>21921.42</v>
      </c>
      <c r="F669">
        <v>147734.82999999999</v>
      </c>
      <c r="G669">
        <v>11356.03</v>
      </c>
      <c r="H669">
        <v>37109.120000000003</v>
      </c>
      <c r="I669">
        <v>13882.81</v>
      </c>
      <c r="J669">
        <v>62347.96</v>
      </c>
      <c r="K669">
        <v>210082.79</v>
      </c>
      <c r="L669">
        <v>136737.99</v>
      </c>
      <c r="M669">
        <v>8489.73</v>
      </c>
      <c r="N669">
        <v>13796.59</v>
      </c>
      <c r="O669">
        <v>3871.88</v>
      </c>
      <c r="P669">
        <v>162896.18</v>
      </c>
      <c r="Q669">
        <v>6782.45</v>
      </c>
      <c r="R669">
        <v>2736.19</v>
      </c>
      <c r="S669">
        <v>1917.68</v>
      </c>
      <c r="T669">
        <v>46772.76</v>
      </c>
      <c r="U669">
        <v>1385.95</v>
      </c>
      <c r="V669">
        <v>818.32</v>
      </c>
      <c r="W669">
        <v>61263.48</v>
      </c>
      <c r="X669">
        <v>121676.82</v>
      </c>
      <c r="Y669">
        <v>9929.92</v>
      </c>
      <c r="Z669">
        <v>41187.33</v>
      </c>
      <c r="AA669">
        <v>24023</v>
      </c>
      <c r="AB669">
        <v>2616.21</v>
      </c>
      <c r="AC669">
        <v>12130.01</v>
      </c>
      <c r="AD669">
        <v>2635.36</v>
      </c>
      <c r="AE669">
        <v>587177.61</v>
      </c>
      <c r="AF669">
        <v>19690</v>
      </c>
      <c r="AG669" t="s">
        <v>126</v>
      </c>
      <c r="AH669" t="s">
        <v>127</v>
      </c>
      <c r="AI669" t="s">
        <v>126</v>
      </c>
      <c r="AJ669" t="s">
        <v>127</v>
      </c>
      <c r="AK669">
        <v>5375</v>
      </c>
      <c r="AL669" t="s">
        <v>44</v>
      </c>
      <c r="AM669">
        <v>3</v>
      </c>
      <c r="AN669">
        <v>3</v>
      </c>
      <c r="AO669">
        <v>2024</v>
      </c>
      <c r="AP669">
        <v>1</v>
      </c>
    </row>
    <row r="670" spans="1:42" x14ac:dyDescent="0.25">
      <c r="A670">
        <v>3490.58</v>
      </c>
      <c r="B670">
        <v>167135.74</v>
      </c>
      <c r="C670">
        <v>14161.14</v>
      </c>
      <c r="D670">
        <v>61816.45</v>
      </c>
      <c r="E670">
        <v>83264.05</v>
      </c>
      <c r="F670">
        <v>329867.96000000002</v>
      </c>
      <c r="G670">
        <v>27544.19</v>
      </c>
      <c r="H670">
        <v>82795.23</v>
      </c>
      <c r="I670">
        <v>24471.279999999999</v>
      </c>
      <c r="J670">
        <v>134810.70000000001</v>
      </c>
      <c r="K670">
        <v>464678.66</v>
      </c>
      <c r="L670">
        <v>302562.98</v>
      </c>
      <c r="M670">
        <v>18083.68</v>
      </c>
      <c r="N670">
        <v>31738.26</v>
      </c>
      <c r="O670">
        <v>8992.91</v>
      </c>
      <c r="P670">
        <v>361377.82</v>
      </c>
      <c r="Q670">
        <v>4465.66</v>
      </c>
      <c r="R670">
        <v>9764.67</v>
      </c>
      <c r="S670">
        <v>2901.09</v>
      </c>
      <c r="T670">
        <v>55275.55</v>
      </c>
      <c r="U670">
        <v>16106.33</v>
      </c>
      <c r="V670">
        <v>248.58</v>
      </c>
      <c r="W670">
        <v>123094.16</v>
      </c>
      <c r="X670">
        <v>211856.04</v>
      </c>
      <c r="Y670">
        <v>32183.759999999998</v>
      </c>
      <c r="Z670">
        <v>50876.42</v>
      </c>
      <c r="AA670">
        <v>65937.97</v>
      </c>
      <c r="AB670">
        <v>1802.41</v>
      </c>
      <c r="AC670">
        <v>16948.23</v>
      </c>
      <c r="AD670">
        <v>60081.25</v>
      </c>
      <c r="AE670">
        <v>1265742.57</v>
      </c>
      <c r="AF670">
        <v>19977</v>
      </c>
      <c r="AG670" t="s">
        <v>142</v>
      </c>
      <c r="AH670" t="s">
        <v>143</v>
      </c>
      <c r="AI670" t="s">
        <v>142</v>
      </c>
      <c r="AJ670" t="s">
        <v>143</v>
      </c>
      <c r="AK670">
        <v>10876</v>
      </c>
      <c r="AL670" t="s">
        <v>50</v>
      </c>
      <c r="AM670">
        <v>3</v>
      </c>
      <c r="AN670">
        <v>3</v>
      </c>
      <c r="AO670">
        <v>2024</v>
      </c>
      <c r="AP670">
        <v>2</v>
      </c>
    </row>
    <row r="671" spans="1:42" x14ac:dyDescent="0.25">
      <c r="A671">
        <v>3678.2</v>
      </c>
      <c r="B671">
        <v>273866.32</v>
      </c>
      <c r="C671">
        <v>21164.92</v>
      </c>
      <c r="D671">
        <v>78864.800000000003</v>
      </c>
      <c r="E671">
        <v>64511.16</v>
      </c>
      <c r="F671">
        <v>442085.39</v>
      </c>
      <c r="G671">
        <v>38628.67</v>
      </c>
      <c r="H671">
        <v>105174.63</v>
      </c>
      <c r="I671">
        <v>39680.959999999999</v>
      </c>
      <c r="J671">
        <v>183484.26</v>
      </c>
      <c r="K671">
        <v>625569.65</v>
      </c>
      <c r="L671">
        <v>449826.43</v>
      </c>
      <c r="M671">
        <v>15390.63</v>
      </c>
      <c r="N671">
        <v>28202.400000000001</v>
      </c>
      <c r="O671">
        <v>5805.16</v>
      </c>
      <c r="P671">
        <v>499224.62</v>
      </c>
      <c r="Q671">
        <v>12330.75</v>
      </c>
      <c r="R671">
        <v>1279.94</v>
      </c>
      <c r="S671">
        <v>5994.05</v>
      </c>
      <c r="T671">
        <v>90590.86</v>
      </c>
      <c r="U671">
        <v>4844.66</v>
      </c>
      <c r="V671">
        <v>0</v>
      </c>
      <c r="W671">
        <v>157696.14000000001</v>
      </c>
      <c r="X671">
        <v>272736.40999999997</v>
      </c>
      <c r="Y671">
        <v>42142.39</v>
      </c>
      <c r="Z671">
        <v>103554.81</v>
      </c>
      <c r="AA671">
        <v>102776.65</v>
      </c>
      <c r="AB671">
        <v>12063.93</v>
      </c>
      <c r="AC671">
        <v>17676.39</v>
      </c>
      <c r="AD671">
        <v>392.83</v>
      </c>
      <c r="AE671">
        <v>1676137.68</v>
      </c>
      <c r="AF671">
        <v>20409</v>
      </c>
      <c r="AG671" t="s">
        <v>95</v>
      </c>
      <c r="AH671" t="s">
        <v>96</v>
      </c>
      <c r="AI671" t="s">
        <v>95</v>
      </c>
      <c r="AJ671" t="s">
        <v>96</v>
      </c>
      <c r="AK671">
        <v>6673</v>
      </c>
      <c r="AL671" t="s">
        <v>44</v>
      </c>
      <c r="AM671">
        <v>3</v>
      </c>
      <c r="AN671">
        <v>3</v>
      </c>
      <c r="AO671">
        <v>2024</v>
      </c>
      <c r="AP671">
        <v>1</v>
      </c>
    </row>
    <row r="672" spans="1:42" x14ac:dyDescent="0.25">
      <c r="A672">
        <v>3823.58</v>
      </c>
      <c r="B672">
        <v>91640.56</v>
      </c>
      <c r="C672">
        <v>18373</v>
      </c>
      <c r="D672">
        <v>24097.71</v>
      </c>
      <c r="E672">
        <v>23903.68</v>
      </c>
      <c r="F672">
        <v>161838.54</v>
      </c>
      <c r="G672">
        <v>14036.35</v>
      </c>
      <c r="H672">
        <v>37132.43</v>
      </c>
      <c r="I672">
        <v>8841.5300000000007</v>
      </c>
      <c r="J672">
        <v>60010.31</v>
      </c>
      <c r="K672">
        <v>221848.85</v>
      </c>
      <c r="L672">
        <v>133649.39000000001</v>
      </c>
      <c r="M672">
        <v>8859.7099999999991</v>
      </c>
      <c r="N672">
        <v>17954.88</v>
      </c>
      <c r="O672">
        <v>3235.54</v>
      </c>
      <c r="P672">
        <v>163699.51999999999</v>
      </c>
      <c r="Q672">
        <v>4493.8100000000004</v>
      </c>
      <c r="R672">
        <v>2461.9699999999998</v>
      </c>
      <c r="S672">
        <v>2045.48</v>
      </c>
      <c r="T672">
        <v>53678.239999999998</v>
      </c>
      <c r="U672">
        <v>1588.77</v>
      </c>
      <c r="V672">
        <v>1006.18</v>
      </c>
      <c r="W672">
        <v>69859.58</v>
      </c>
      <c r="X672">
        <v>135134.04</v>
      </c>
      <c r="Y672">
        <v>13335.13</v>
      </c>
      <c r="Z672">
        <v>48672.2</v>
      </c>
      <c r="AA672">
        <v>29227.09</v>
      </c>
      <c r="AB672">
        <v>2216.09</v>
      </c>
      <c r="AC672">
        <v>62930.41</v>
      </c>
      <c r="AD672">
        <v>1193.8399999999999</v>
      </c>
      <c r="AE672">
        <v>678257.16</v>
      </c>
      <c r="AF672">
        <v>19690</v>
      </c>
      <c r="AG672" t="s">
        <v>126</v>
      </c>
      <c r="AH672" t="s">
        <v>127</v>
      </c>
      <c r="AI672" t="s">
        <v>126</v>
      </c>
      <c r="AJ672" t="s">
        <v>127</v>
      </c>
      <c r="AK672">
        <v>5375</v>
      </c>
      <c r="AL672" t="s">
        <v>44</v>
      </c>
      <c r="AM672">
        <v>3</v>
      </c>
      <c r="AN672">
        <v>3</v>
      </c>
      <c r="AO672">
        <v>2024</v>
      </c>
      <c r="AP672">
        <v>3</v>
      </c>
    </row>
    <row r="673" spans="1:42" x14ac:dyDescent="0.25">
      <c r="A673">
        <v>3836.17</v>
      </c>
      <c r="B673">
        <v>7750.18</v>
      </c>
      <c r="C673">
        <v>3321.36</v>
      </c>
      <c r="D673">
        <v>0</v>
      </c>
      <c r="E673">
        <v>0</v>
      </c>
      <c r="F673">
        <v>14907.71</v>
      </c>
      <c r="G673">
        <v>392.53</v>
      </c>
      <c r="H673">
        <v>1052.81</v>
      </c>
      <c r="I673">
        <v>1050.6300000000001</v>
      </c>
      <c r="J673">
        <v>2495.9699999999998</v>
      </c>
      <c r="K673">
        <v>17403.68</v>
      </c>
      <c r="L673">
        <v>4103.54</v>
      </c>
      <c r="M673">
        <v>3448.33</v>
      </c>
      <c r="N673">
        <v>234.28</v>
      </c>
      <c r="O673">
        <v>0</v>
      </c>
      <c r="P673">
        <v>7786.14</v>
      </c>
      <c r="Q673">
        <v>38.64</v>
      </c>
      <c r="R673">
        <v>0</v>
      </c>
      <c r="S673">
        <v>1627.32</v>
      </c>
      <c r="T673">
        <v>172.09</v>
      </c>
      <c r="U673">
        <v>0</v>
      </c>
      <c r="V673">
        <v>0</v>
      </c>
      <c r="W673">
        <v>1233.8599999999999</v>
      </c>
      <c r="X673">
        <v>3071.9</v>
      </c>
      <c r="Y673">
        <v>412.67</v>
      </c>
      <c r="Z673">
        <v>16529.16</v>
      </c>
      <c r="AA673">
        <v>1370.77</v>
      </c>
      <c r="AB673">
        <v>495.7</v>
      </c>
      <c r="AC673">
        <v>6233.04</v>
      </c>
      <c r="AD673">
        <v>1625.39</v>
      </c>
      <c r="AE673">
        <v>54928.44</v>
      </c>
      <c r="AF673">
        <v>22085</v>
      </c>
      <c r="AG673" t="s">
        <v>146</v>
      </c>
      <c r="AH673" t="s">
        <v>147</v>
      </c>
      <c r="AI673" t="s">
        <v>146</v>
      </c>
      <c r="AJ673" t="s">
        <v>147</v>
      </c>
      <c r="AK673">
        <v>1227</v>
      </c>
      <c r="AL673" t="s">
        <v>115</v>
      </c>
      <c r="AM673">
        <v>2</v>
      </c>
      <c r="AN673">
        <v>2</v>
      </c>
      <c r="AO673">
        <v>2024</v>
      </c>
      <c r="AP673">
        <v>3</v>
      </c>
    </row>
    <row r="674" spans="1:42" x14ac:dyDescent="0.25">
      <c r="A674">
        <v>3887.38</v>
      </c>
      <c r="B674">
        <v>148890.81</v>
      </c>
      <c r="C674">
        <v>12677.82</v>
      </c>
      <c r="D674">
        <v>55246.98</v>
      </c>
      <c r="E674">
        <v>83748.58</v>
      </c>
      <c r="F674">
        <v>304451.56</v>
      </c>
      <c r="G674">
        <v>25195.31</v>
      </c>
      <c r="H674">
        <v>75822.87</v>
      </c>
      <c r="I674">
        <v>17884.86</v>
      </c>
      <c r="J674">
        <v>118903.05</v>
      </c>
      <c r="K674">
        <v>423354.61</v>
      </c>
      <c r="L674">
        <v>253582.37</v>
      </c>
      <c r="M674">
        <v>21343.47</v>
      </c>
      <c r="N674">
        <v>28488.75</v>
      </c>
      <c r="O674">
        <v>7590.83</v>
      </c>
      <c r="P674">
        <v>311005.42</v>
      </c>
      <c r="Q674">
        <v>4195</v>
      </c>
      <c r="R674">
        <v>24250.2</v>
      </c>
      <c r="S674">
        <v>2736.93</v>
      </c>
      <c r="T674">
        <v>47702.16</v>
      </c>
      <c r="U674">
        <v>13863.93</v>
      </c>
      <c r="V674">
        <v>253.51</v>
      </c>
      <c r="W674">
        <v>105693.72</v>
      </c>
      <c r="X674">
        <v>198695.45</v>
      </c>
      <c r="Y674">
        <v>29355.68</v>
      </c>
      <c r="Z674">
        <v>47763.96</v>
      </c>
      <c r="AA674">
        <v>59094.57</v>
      </c>
      <c r="AB674">
        <v>3013.07</v>
      </c>
      <c r="AC674">
        <v>14786.96</v>
      </c>
      <c r="AD674">
        <v>57975.57</v>
      </c>
      <c r="AE674">
        <v>1145045.27</v>
      </c>
      <c r="AF674">
        <v>19977</v>
      </c>
      <c r="AG674" t="s">
        <v>142</v>
      </c>
      <c r="AH674" t="s">
        <v>143</v>
      </c>
      <c r="AI674" t="s">
        <v>142</v>
      </c>
      <c r="AJ674" t="s">
        <v>143</v>
      </c>
      <c r="AK674">
        <v>10876</v>
      </c>
      <c r="AL674" t="s">
        <v>50</v>
      </c>
      <c r="AM674">
        <v>3</v>
      </c>
      <c r="AN674">
        <v>3</v>
      </c>
      <c r="AO674">
        <v>2024</v>
      </c>
      <c r="AP674">
        <v>3</v>
      </c>
    </row>
    <row r="675" spans="1:42" x14ac:dyDescent="0.25">
      <c r="A675">
        <v>3929.32</v>
      </c>
      <c r="B675">
        <v>263341.32</v>
      </c>
      <c r="C675">
        <v>20271.73</v>
      </c>
      <c r="D675">
        <v>75347.61</v>
      </c>
      <c r="E675">
        <v>63775.42</v>
      </c>
      <c r="F675">
        <v>426665.39</v>
      </c>
      <c r="G675">
        <v>40713.440000000002</v>
      </c>
      <c r="H675">
        <v>93937.279999999999</v>
      </c>
      <c r="I675">
        <v>31485.43</v>
      </c>
      <c r="J675">
        <v>166136.14000000001</v>
      </c>
      <c r="K675">
        <v>592801.53</v>
      </c>
      <c r="L675">
        <v>452745.89</v>
      </c>
      <c r="M675">
        <v>15774.25</v>
      </c>
      <c r="N675">
        <v>30829.61</v>
      </c>
      <c r="O675">
        <v>8453</v>
      </c>
      <c r="P675">
        <v>507802.75</v>
      </c>
      <c r="Q675">
        <v>9232.5</v>
      </c>
      <c r="R675">
        <v>1346.29</v>
      </c>
      <c r="S675">
        <v>5912.59</v>
      </c>
      <c r="T675">
        <v>98328.37</v>
      </c>
      <c r="U675">
        <v>5342.5</v>
      </c>
      <c r="V675">
        <v>0</v>
      </c>
      <c r="W675">
        <v>183649.21</v>
      </c>
      <c r="X675">
        <v>303811.45</v>
      </c>
      <c r="Y675">
        <v>43504.35</v>
      </c>
      <c r="Z675">
        <v>106645.61</v>
      </c>
      <c r="AA675">
        <v>105340.18</v>
      </c>
      <c r="AB675">
        <v>12708.44</v>
      </c>
      <c r="AC675">
        <v>13261.55</v>
      </c>
      <c r="AD675">
        <v>631.89</v>
      </c>
      <c r="AE675">
        <v>1686507.73</v>
      </c>
      <c r="AF675">
        <v>20409</v>
      </c>
      <c r="AG675" t="s">
        <v>95</v>
      </c>
      <c r="AH675" t="s">
        <v>96</v>
      </c>
      <c r="AI675" t="s">
        <v>95</v>
      </c>
      <c r="AJ675" t="s">
        <v>96</v>
      </c>
      <c r="AK675">
        <v>6673</v>
      </c>
      <c r="AL675" t="s">
        <v>44</v>
      </c>
      <c r="AM675">
        <v>3</v>
      </c>
      <c r="AN675">
        <v>3</v>
      </c>
      <c r="AO675">
        <v>2024</v>
      </c>
      <c r="AP675">
        <v>2</v>
      </c>
    </row>
    <row r="676" spans="1:42" x14ac:dyDescent="0.25">
      <c r="A676">
        <v>3944.34</v>
      </c>
      <c r="B676">
        <v>94940.32</v>
      </c>
      <c r="C676">
        <v>18362.099999999999</v>
      </c>
      <c r="D676">
        <v>24321.86</v>
      </c>
      <c r="E676">
        <v>26321.58</v>
      </c>
      <c r="F676">
        <v>167890.2</v>
      </c>
      <c r="G676">
        <v>13474.94</v>
      </c>
      <c r="H676">
        <v>42120.56</v>
      </c>
      <c r="I676">
        <v>10450.75</v>
      </c>
      <c r="J676">
        <v>66046.25</v>
      </c>
      <c r="K676">
        <v>233936.44</v>
      </c>
      <c r="L676">
        <v>136612.85999999999</v>
      </c>
      <c r="M676">
        <v>8476.9599999999991</v>
      </c>
      <c r="N676">
        <v>16557.82</v>
      </c>
      <c r="O676">
        <v>4214.42</v>
      </c>
      <c r="P676">
        <v>165862.04999999999</v>
      </c>
      <c r="Q676">
        <v>4325.43</v>
      </c>
      <c r="R676">
        <v>2156.1999999999998</v>
      </c>
      <c r="S676">
        <v>2652.41</v>
      </c>
      <c r="T676">
        <v>49765.8</v>
      </c>
      <c r="U676">
        <v>1690.72</v>
      </c>
      <c r="V676">
        <v>1005.99</v>
      </c>
      <c r="W676">
        <v>68947.78</v>
      </c>
      <c r="X676">
        <v>130544.32000000001</v>
      </c>
      <c r="Y676">
        <v>11913.52</v>
      </c>
      <c r="Z676">
        <v>48312.13</v>
      </c>
      <c r="AA676">
        <v>28034.84</v>
      </c>
      <c r="AB676">
        <v>2229.4499999999998</v>
      </c>
      <c r="AC676">
        <v>11096.08</v>
      </c>
      <c r="AD676">
        <v>1275.26</v>
      </c>
      <c r="AE676">
        <v>633204.1</v>
      </c>
      <c r="AF676">
        <v>19690</v>
      </c>
      <c r="AG676" t="s">
        <v>126</v>
      </c>
      <c r="AH676" t="s">
        <v>127</v>
      </c>
      <c r="AI676" t="s">
        <v>126</v>
      </c>
      <c r="AJ676" t="s">
        <v>127</v>
      </c>
      <c r="AK676">
        <v>5375</v>
      </c>
      <c r="AL676" t="s">
        <v>44</v>
      </c>
      <c r="AM676">
        <v>3</v>
      </c>
      <c r="AN676">
        <v>3</v>
      </c>
      <c r="AO676">
        <v>2024</v>
      </c>
      <c r="AP676">
        <v>2</v>
      </c>
    </row>
    <row r="677" spans="1:42" x14ac:dyDescent="0.25">
      <c r="A677">
        <v>3946.44</v>
      </c>
      <c r="B677">
        <v>7014.15</v>
      </c>
      <c r="C677">
        <v>3391.96</v>
      </c>
      <c r="D677">
        <v>0</v>
      </c>
      <c r="E677">
        <v>0</v>
      </c>
      <c r="F677">
        <v>14352.54</v>
      </c>
      <c r="G677">
        <v>523.67999999999995</v>
      </c>
      <c r="H677">
        <v>1164.32</v>
      </c>
      <c r="I677">
        <v>932.76</v>
      </c>
      <c r="J677">
        <v>2620.7600000000002</v>
      </c>
      <c r="K677">
        <v>16973.3</v>
      </c>
      <c r="L677">
        <v>5924.18</v>
      </c>
      <c r="M677">
        <v>4183.78</v>
      </c>
      <c r="N677">
        <v>250.21</v>
      </c>
      <c r="O677">
        <v>0</v>
      </c>
      <c r="P677">
        <v>10358.17</v>
      </c>
      <c r="Q677">
        <v>29.8</v>
      </c>
      <c r="R677">
        <v>0</v>
      </c>
      <c r="S677">
        <v>1374.22</v>
      </c>
      <c r="T677">
        <v>27.57</v>
      </c>
      <c r="U677">
        <v>0</v>
      </c>
      <c r="V677">
        <v>0</v>
      </c>
      <c r="W677">
        <v>1471.76</v>
      </c>
      <c r="X677">
        <v>2903.35</v>
      </c>
      <c r="Y677">
        <v>185.38</v>
      </c>
      <c r="Z677">
        <v>14589.37</v>
      </c>
      <c r="AA677">
        <v>1399.97</v>
      </c>
      <c r="AB677">
        <v>394.84</v>
      </c>
      <c r="AC677">
        <v>6906.37</v>
      </c>
      <c r="AD677">
        <v>2881.03</v>
      </c>
      <c r="AE677">
        <v>56591.78</v>
      </c>
      <c r="AF677">
        <v>22085</v>
      </c>
      <c r="AG677" t="s">
        <v>146</v>
      </c>
      <c r="AH677" t="s">
        <v>147</v>
      </c>
      <c r="AI677" t="s">
        <v>146</v>
      </c>
      <c r="AJ677" t="s">
        <v>147</v>
      </c>
      <c r="AK677">
        <v>1227</v>
      </c>
      <c r="AL677" t="s">
        <v>115</v>
      </c>
      <c r="AM677">
        <v>2</v>
      </c>
      <c r="AN677">
        <v>2</v>
      </c>
      <c r="AO677">
        <v>2024</v>
      </c>
      <c r="AP677">
        <v>4</v>
      </c>
    </row>
    <row r="678" spans="1:42" x14ac:dyDescent="0.25">
      <c r="A678">
        <v>3961</v>
      </c>
      <c r="B678">
        <v>172360</v>
      </c>
      <c r="C678">
        <v>24083</v>
      </c>
      <c r="D678">
        <v>58108</v>
      </c>
      <c r="E678">
        <v>72799</v>
      </c>
      <c r="F678">
        <v>331311</v>
      </c>
      <c r="G678">
        <v>26719</v>
      </c>
      <c r="H678">
        <v>84595</v>
      </c>
      <c r="I678">
        <v>20402</v>
      </c>
      <c r="J678">
        <v>131716</v>
      </c>
      <c r="K678">
        <v>463027</v>
      </c>
      <c r="L678">
        <v>276238</v>
      </c>
      <c r="M678">
        <v>36050</v>
      </c>
      <c r="N678">
        <v>38895</v>
      </c>
      <c r="O678">
        <v>13321</v>
      </c>
      <c r="P678">
        <v>364504</v>
      </c>
      <c r="Q678">
        <v>10033</v>
      </c>
      <c r="R678">
        <v>10188</v>
      </c>
      <c r="S678">
        <v>2392</v>
      </c>
      <c r="T678">
        <v>49061</v>
      </c>
      <c r="U678">
        <v>13178</v>
      </c>
      <c r="V678">
        <v>328</v>
      </c>
      <c r="W678">
        <v>141911</v>
      </c>
      <c r="X678">
        <v>227091</v>
      </c>
      <c r="Y678">
        <v>24370</v>
      </c>
      <c r="Z678">
        <v>71394</v>
      </c>
      <c r="AA678">
        <v>59640</v>
      </c>
      <c r="AB678">
        <v>13380</v>
      </c>
      <c r="AC678">
        <v>13168</v>
      </c>
      <c r="AD678">
        <v>40072</v>
      </c>
      <c r="AE678">
        <v>1276646</v>
      </c>
      <c r="AF678">
        <v>19790</v>
      </c>
      <c r="AG678" t="s">
        <v>134</v>
      </c>
      <c r="AH678" t="s">
        <v>135</v>
      </c>
      <c r="AI678" t="s">
        <v>134</v>
      </c>
      <c r="AJ678" t="s">
        <v>135</v>
      </c>
      <c r="AK678">
        <v>10260</v>
      </c>
      <c r="AL678" t="s">
        <v>50</v>
      </c>
      <c r="AM678">
        <v>3</v>
      </c>
      <c r="AN678">
        <v>3</v>
      </c>
      <c r="AO678">
        <v>2024</v>
      </c>
      <c r="AP678">
        <v>1</v>
      </c>
    </row>
    <row r="679" spans="1:42" x14ac:dyDescent="0.25">
      <c r="A679">
        <v>4188.04</v>
      </c>
      <c r="B679">
        <v>7190.93</v>
      </c>
      <c r="C679">
        <v>2914.39</v>
      </c>
      <c r="D679">
        <v>0</v>
      </c>
      <c r="E679">
        <v>0</v>
      </c>
      <c r="F679">
        <v>14293.36</v>
      </c>
      <c r="G679">
        <v>531.16</v>
      </c>
      <c r="H679">
        <v>840.73</v>
      </c>
      <c r="I679">
        <v>1079.6400000000001</v>
      </c>
      <c r="J679">
        <v>2451.5300000000002</v>
      </c>
      <c r="K679">
        <v>16744.88</v>
      </c>
      <c r="L679">
        <v>5601</v>
      </c>
      <c r="M679">
        <v>2645.27</v>
      </c>
      <c r="N679">
        <v>192.69</v>
      </c>
      <c r="O679">
        <v>0</v>
      </c>
      <c r="P679">
        <v>8438.9599999999991</v>
      </c>
      <c r="Q679">
        <v>95.52</v>
      </c>
      <c r="R679">
        <v>0</v>
      </c>
      <c r="S679">
        <v>1554.2</v>
      </c>
      <c r="T679">
        <v>73.25</v>
      </c>
      <c r="U679">
        <v>0</v>
      </c>
      <c r="V679">
        <v>0</v>
      </c>
      <c r="W679">
        <v>1062.1300000000001</v>
      </c>
      <c r="X679">
        <v>2785.11</v>
      </c>
      <c r="Y679">
        <v>521.14</v>
      </c>
      <c r="Z679">
        <v>15240.1</v>
      </c>
      <c r="AA679">
        <v>1011.53</v>
      </c>
      <c r="AB679">
        <v>432.28</v>
      </c>
      <c r="AC679">
        <v>6607.9</v>
      </c>
      <c r="AD679">
        <v>3221.09</v>
      </c>
      <c r="AE679">
        <v>55003</v>
      </c>
      <c r="AF679">
        <v>22085</v>
      </c>
      <c r="AG679" t="s">
        <v>146</v>
      </c>
      <c r="AH679" t="s">
        <v>147</v>
      </c>
      <c r="AI679" t="s">
        <v>146</v>
      </c>
      <c r="AJ679" t="s">
        <v>147</v>
      </c>
      <c r="AK679">
        <v>1227</v>
      </c>
      <c r="AL679" t="s">
        <v>115</v>
      </c>
      <c r="AM679">
        <v>2</v>
      </c>
      <c r="AN679">
        <v>2</v>
      </c>
      <c r="AO679">
        <v>2024</v>
      </c>
      <c r="AP679">
        <v>2</v>
      </c>
    </row>
    <row r="680" spans="1:42" x14ac:dyDescent="0.25">
      <c r="A680">
        <v>4332.0200000000004</v>
      </c>
      <c r="B680">
        <v>336768.75</v>
      </c>
      <c r="C680">
        <v>27762.04</v>
      </c>
      <c r="D680">
        <v>86792.13</v>
      </c>
      <c r="E680">
        <v>98071.09</v>
      </c>
      <c r="F680">
        <v>553726.02</v>
      </c>
      <c r="G680">
        <v>45702.52</v>
      </c>
      <c r="H680">
        <v>130563.53</v>
      </c>
      <c r="I680">
        <v>29351.02</v>
      </c>
      <c r="J680">
        <v>205617.08</v>
      </c>
      <c r="K680">
        <v>759343.09</v>
      </c>
      <c r="L680">
        <v>494395.78</v>
      </c>
      <c r="M680">
        <v>20787.97</v>
      </c>
      <c r="N680">
        <v>36664.93</v>
      </c>
      <c r="O680">
        <v>9635.66</v>
      </c>
      <c r="P680">
        <v>561484.34</v>
      </c>
      <c r="Q680">
        <v>13962.32</v>
      </c>
      <c r="R680">
        <v>1697.73</v>
      </c>
      <c r="S680">
        <v>7041.43</v>
      </c>
      <c r="T680">
        <v>118670.87</v>
      </c>
      <c r="U680">
        <v>6106.39</v>
      </c>
      <c r="V680">
        <v>0</v>
      </c>
      <c r="W680">
        <v>189680.32</v>
      </c>
      <c r="X680">
        <v>337159.07</v>
      </c>
      <c r="Y680">
        <v>50967.96</v>
      </c>
      <c r="Z680">
        <v>113973.19</v>
      </c>
      <c r="AA680">
        <v>124351.38</v>
      </c>
      <c r="AB680">
        <v>15924.94</v>
      </c>
      <c r="AC680">
        <v>38406.5</v>
      </c>
      <c r="AD680">
        <v>414.51</v>
      </c>
      <c r="AE680">
        <v>2002024.98</v>
      </c>
      <c r="AF680">
        <v>20409</v>
      </c>
      <c r="AG680" t="s">
        <v>95</v>
      </c>
      <c r="AH680" t="s">
        <v>96</v>
      </c>
      <c r="AI680" t="s">
        <v>95</v>
      </c>
      <c r="AJ680" t="s">
        <v>96</v>
      </c>
      <c r="AK680">
        <v>6673</v>
      </c>
      <c r="AL680" t="s">
        <v>44</v>
      </c>
      <c r="AM680">
        <v>3</v>
      </c>
      <c r="AN680">
        <v>3</v>
      </c>
      <c r="AO680">
        <v>2024</v>
      </c>
      <c r="AP680">
        <v>3</v>
      </c>
    </row>
    <row r="681" spans="1:42" x14ac:dyDescent="0.25">
      <c r="A681">
        <v>4353</v>
      </c>
      <c r="B681">
        <v>276689</v>
      </c>
      <c r="C681">
        <v>35815</v>
      </c>
      <c r="D681">
        <v>58457</v>
      </c>
      <c r="E681">
        <v>102614</v>
      </c>
      <c r="F681">
        <v>477928</v>
      </c>
      <c r="G681">
        <v>48280</v>
      </c>
      <c r="H681">
        <v>120113</v>
      </c>
      <c r="I681">
        <v>31493</v>
      </c>
      <c r="J681">
        <v>199886</v>
      </c>
      <c r="K681">
        <v>677814</v>
      </c>
      <c r="L681">
        <v>414275</v>
      </c>
      <c r="M681">
        <v>11156</v>
      </c>
      <c r="N681">
        <v>43852</v>
      </c>
      <c r="O681">
        <v>44662</v>
      </c>
      <c r="P681">
        <v>513945</v>
      </c>
      <c r="Q681">
        <v>20754</v>
      </c>
      <c r="R681">
        <v>6227</v>
      </c>
      <c r="S681">
        <v>3085</v>
      </c>
      <c r="T681">
        <v>82814</v>
      </c>
      <c r="U681">
        <v>4668</v>
      </c>
      <c r="V681">
        <v>0</v>
      </c>
      <c r="W681">
        <v>162687</v>
      </c>
      <c r="X681">
        <v>280235</v>
      </c>
      <c r="Y681">
        <v>31116</v>
      </c>
      <c r="Z681">
        <v>103817</v>
      </c>
      <c r="AA681">
        <v>98168</v>
      </c>
      <c r="AB681">
        <v>0</v>
      </c>
      <c r="AC681">
        <v>53618</v>
      </c>
      <c r="AD681">
        <v>391335</v>
      </c>
      <c r="AE681">
        <v>2150048</v>
      </c>
      <c r="AF681">
        <v>19930</v>
      </c>
      <c r="AG681" t="s">
        <v>107</v>
      </c>
      <c r="AH681" t="s">
        <v>108</v>
      </c>
      <c r="AI681" t="s">
        <v>107</v>
      </c>
      <c r="AJ681" t="s">
        <v>108</v>
      </c>
      <c r="AK681">
        <v>6031</v>
      </c>
      <c r="AL681" t="s">
        <v>44</v>
      </c>
      <c r="AM681">
        <v>3</v>
      </c>
      <c r="AN681">
        <v>3</v>
      </c>
      <c r="AO681">
        <v>2024</v>
      </c>
      <c r="AP681">
        <v>1</v>
      </c>
    </row>
    <row r="682" spans="1:42" x14ac:dyDescent="0.25">
      <c r="A682">
        <v>4378.3599999999997</v>
      </c>
      <c r="B682">
        <v>209550.46</v>
      </c>
      <c r="C682">
        <v>12432.83</v>
      </c>
      <c r="D682">
        <v>37902.910000000003</v>
      </c>
      <c r="E682">
        <v>83245.86</v>
      </c>
      <c r="F682">
        <v>347510.42</v>
      </c>
      <c r="G682">
        <v>34456.19</v>
      </c>
      <c r="H682">
        <v>74698.789999999994</v>
      </c>
      <c r="I682">
        <v>18350.09</v>
      </c>
      <c r="J682">
        <v>127505.06</v>
      </c>
      <c r="K682">
        <v>475015.48</v>
      </c>
      <c r="L682">
        <v>401615.45</v>
      </c>
      <c r="M682">
        <v>8511.68</v>
      </c>
      <c r="N682">
        <v>55106.79</v>
      </c>
      <c r="O682">
        <v>8750.65</v>
      </c>
      <c r="P682">
        <v>473984.57</v>
      </c>
      <c r="Q682">
        <v>5846.59</v>
      </c>
      <c r="R682">
        <v>14360.74</v>
      </c>
      <c r="S682">
        <v>3638.02</v>
      </c>
      <c r="T682">
        <v>47043.72</v>
      </c>
      <c r="U682">
        <v>19441.34</v>
      </c>
      <c r="V682">
        <v>1407.64</v>
      </c>
      <c r="W682">
        <v>166763.68</v>
      </c>
      <c r="X682">
        <v>258501.71</v>
      </c>
      <c r="Y682">
        <v>17073.46</v>
      </c>
      <c r="Z682">
        <v>27412.15</v>
      </c>
      <c r="AA682">
        <v>79889.64</v>
      </c>
      <c r="AB682">
        <v>1577.09</v>
      </c>
      <c r="AC682">
        <v>15570.37</v>
      </c>
      <c r="AD682">
        <v>24772.799999999999</v>
      </c>
      <c r="AE682">
        <v>1373797.26</v>
      </c>
      <c r="AF682">
        <v>19977</v>
      </c>
      <c r="AG682" t="s">
        <v>142</v>
      </c>
      <c r="AH682" t="s">
        <v>143</v>
      </c>
      <c r="AI682" t="s">
        <v>142</v>
      </c>
      <c r="AJ682" t="s">
        <v>143</v>
      </c>
      <c r="AK682">
        <v>10877</v>
      </c>
      <c r="AL682" t="s">
        <v>64</v>
      </c>
      <c r="AM682">
        <v>3</v>
      </c>
      <c r="AN682">
        <v>3</v>
      </c>
      <c r="AO682">
        <v>2024</v>
      </c>
      <c r="AP682">
        <v>2</v>
      </c>
    </row>
    <row r="683" spans="1:42" x14ac:dyDescent="0.25">
      <c r="A683">
        <v>4387.04</v>
      </c>
      <c r="B683">
        <v>962857.05</v>
      </c>
      <c r="C683">
        <v>272160.21000000002</v>
      </c>
      <c r="D683">
        <v>288762.38</v>
      </c>
      <c r="E683">
        <v>325862.06</v>
      </c>
      <c r="F683">
        <v>1854028.74</v>
      </c>
      <c r="G683">
        <v>152884.25</v>
      </c>
      <c r="H683">
        <v>456760.78</v>
      </c>
      <c r="I683">
        <v>144088.57</v>
      </c>
      <c r="J683">
        <v>753733.6</v>
      </c>
      <c r="K683">
        <v>2607762.34</v>
      </c>
      <c r="L683">
        <v>1547556.59</v>
      </c>
      <c r="M683">
        <v>202524.41</v>
      </c>
      <c r="N683">
        <v>182006.47</v>
      </c>
      <c r="O683">
        <v>32313</v>
      </c>
      <c r="P683">
        <v>1964400.46</v>
      </c>
      <c r="Q683">
        <v>18496.34</v>
      </c>
      <c r="R683">
        <v>76854.86</v>
      </c>
      <c r="S683">
        <v>16583.849999999999</v>
      </c>
      <c r="T683">
        <v>358829.52</v>
      </c>
      <c r="U683">
        <v>28524.01</v>
      </c>
      <c r="V683">
        <v>0</v>
      </c>
      <c r="W683">
        <v>637659.25</v>
      </c>
      <c r="X683">
        <v>1136947.83</v>
      </c>
      <c r="Y683">
        <v>157206.67000000001</v>
      </c>
      <c r="Z683">
        <v>571503.77</v>
      </c>
      <c r="AA683">
        <v>281003.33</v>
      </c>
      <c r="AB683">
        <v>15842.57</v>
      </c>
      <c r="AC683">
        <v>112677.96</v>
      </c>
      <c r="AD683">
        <v>1726616.3</v>
      </c>
      <c r="AE683">
        <v>8573961.2300000004</v>
      </c>
      <c r="AF683">
        <v>19805</v>
      </c>
      <c r="AG683" t="s">
        <v>105</v>
      </c>
      <c r="AH683" t="s">
        <v>106</v>
      </c>
      <c r="AI683" t="s">
        <v>105</v>
      </c>
      <c r="AJ683" t="s">
        <v>106</v>
      </c>
      <c r="AK683" t="s">
        <v>148</v>
      </c>
      <c r="AL683" t="s">
        <v>44</v>
      </c>
      <c r="AM683">
        <v>3</v>
      </c>
      <c r="AN683">
        <v>3</v>
      </c>
      <c r="AO683">
        <v>2024</v>
      </c>
      <c r="AP683">
        <v>1</v>
      </c>
    </row>
    <row r="684" spans="1:42" x14ac:dyDescent="0.25">
      <c r="A684">
        <v>4512.96</v>
      </c>
      <c r="B684">
        <v>27218.47</v>
      </c>
      <c r="C684">
        <v>6064.84</v>
      </c>
      <c r="D684">
        <v>10717.5</v>
      </c>
      <c r="E684">
        <v>3351.91</v>
      </c>
      <c r="F684">
        <v>51865.66</v>
      </c>
      <c r="G684">
        <v>6651.18</v>
      </c>
      <c r="H684">
        <v>10265.9</v>
      </c>
      <c r="I684">
        <v>4113.29</v>
      </c>
      <c r="J684">
        <v>21030.37</v>
      </c>
      <c r="K684">
        <v>72896.03</v>
      </c>
      <c r="L684">
        <v>56719.839999999997</v>
      </c>
      <c r="M684">
        <v>5435.99</v>
      </c>
      <c r="N684">
        <v>2269.52</v>
      </c>
      <c r="O684">
        <v>1256.26</v>
      </c>
      <c r="P684">
        <v>65681.61</v>
      </c>
      <c r="Q684">
        <v>1165.23</v>
      </c>
      <c r="R684">
        <v>622.64</v>
      </c>
      <c r="S684">
        <v>1638.07</v>
      </c>
      <c r="T684">
        <v>5729.75</v>
      </c>
      <c r="U684">
        <v>805.13</v>
      </c>
      <c r="V684">
        <v>0</v>
      </c>
      <c r="W684">
        <v>25569.38</v>
      </c>
      <c r="X684">
        <v>35530.19</v>
      </c>
      <c r="Y684">
        <v>4626.42</v>
      </c>
      <c r="Z684">
        <v>10439.120000000001</v>
      </c>
      <c r="AA684">
        <v>12023.92</v>
      </c>
      <c r="AB684">
        <v>5150.0200000000004</v>
      </c>
      <c r="AC684">
        <v>-246.14</v>
      </c>
      <c r="AD684">
        <v>253.24</v>
      </c>
      <c r="AE684">
        <v>206354.41</v>
      </c>
      <c r="AF684">
        <v>20422</v>
      </c>
      <c r="AG684" t="s">
        <v>93</v>
      </c>
      <c r="AH684" t="s">
        <v>94</v>
      </c>
      <c r="AI684" t="s">
        <v>93</v>
      </c>
      <c r="AJ684" t="s">
        <v>94</v>
      </c>
      <c r="AK684">
        <v>6795</v>
      </c>
      <c r="AL684" t="s">
        <v>44</v>
      </c>
      <c r="AM684">
        <v>3</v>
      </c>
      <c r="AN684">
        <v>3</v>
      </c>
      <c r="AO684">
        <v>2024</v>
      </c>
      <c r="AP684">
        <v>1</v>
      </c>
    </row>
    <row r="685" spans="1:42" x14ac:dyDescent="0.25">
      <c r="A685">
        <v>4526.46</v>
      </c>
      <c r="B685">
        <v>259323.94</v>
      </c>
      <c r="C685">
        <v>15500.56</v>
      </c>
      <c r="D685">
        <v>43649.11</v>
      </c>
      <c r="E685">
        <v>73857.31</v>
      </c>
      <c r="F685">
        <v>396857.39</v>
      </c>
      <c r="G685">
        <v>41243.26</v>
      </c>
      <c r="H685">
        <v>96379.24</v>
      </c>
      <c r="I685">
        <v>34291.74</v>
      </c>
      <c r="J685">
        <v>171914.23999999999</v>
      </c>
      <c r="K685">
        <v>568771.63</v>
      </c>
      <c r="L685">
        <v>481668.56</v>
      </c>
      <c r="M685">
        <v>16344.37</v>
      </c>
      <c r="N685">
        <v>62542.2</v>
      </c>
      <c r="O685">
        <v>10593.08</v>
      </c>
      <c r="P685">
        <v>571148.21</v>
      </c>
      <c r="Q685">
        <v>8846.7000000000007</v>
      </c>
      <c r="R685">
        <v>14019.21</v>
      </c>
      <c r="S685">
        <v>4537.04</v>
      </c>
      <c r="T685">
        <v>80948.429999999993</v>
      </c>
      <c r="U685">
        <v>18717.78</v>
      </c>
      <c r="V685">
        <v>1557.38</v>
      </c>
      <c r="W685">
        <v>158797.82999999999</v>
      </c>
      <c r="X685">
        <v>287424.37</v>
      </c>
      <c r="Y685">
        <v>20753.099999999999</v>
      </c>
      <c r="Z685">
        <v>30816.94</v>
      </c>
      <c r="AA685">
        <v>101433.06</v>
      </c>
      <c r="AB685">
        <v>1765.12</v>
      </c>
      <c r="AC685">
        <v>20968.099999999999</v>
      </c>
      <c r="AD685">
        <v>28329.57</v>
      </c>
      <c r="AE685">
        <v>1631410.09</v>
      </c>
      <c r="AF685">
        <v>19977</v>
      </c>
      <c r="AG685" t="s">
        <v>142</v>
      </c>
      <c r="AH685" t="s">
        <v>143</v>
      </c>
      <c r="AI685" t="s">
        <v>142</v>
      </c>
      <c r="AJ685" t="s">
        <v>143</v>
      </c>
      <c r="AK685">
        <v>10877</v>
      </c>
      <c r="AL685" t="s">
        <v>64</v>
      </c>
      <c r="AM685">
        <v>3</v>
      </c>
      <c r="AN685">
        <v>3</v>
      </c>
      <c r="AO685">
        <v>2024</v>
      </c>
      <c r="AP685">
        <v>1</v>
      </c>
    </row>
    <row r="686" spans="1:42" x14ac:dyDescent="0.25">
      <c r="A686">
        <v>4566</v>
      </c>
      <c r="B686">
        <v>1228620</v>
      </c>
      <c r="C686">
        <v>113305</v>
      </c>
      <c r="D686">
        <v>497732</v>
      </c>
      <c r="E686">
        <v>350032</v>
      </c>
      <c r="F686">
        <v>2194255</v>
      </c>
      <c r="G686">
        <v>155488</v>
      </c>
      <c r="H686">
        <v>582200</v>
      </c>
      <c r="I686">
        <v>125727</v>
      </c>
      <c r="J686">
        <v>863415</v>
      </c>
      <c r="K686">
        <v>3057670</v>
      </c>
      <c r="L686">
        <v>1547417</v>
      </c>
      <c r="M686">
        <v>112582</v>
      </c>
      <c r="N686">
        <v>19035</v>
      </c>
      <c r="O686">
        <v>20190</v>
      </c>
      <c r="P686">
        <v>1699224</v>
      </c>
      <c r="Q686">
        <v>118797</v>
      </c>
      <c r="R686">
        <v>7668</v>
      </c>
      <c r="S686">
        <v>17671</v>
      </c>
      <c r="T686">
        <v>239649</v>
      </c>
      <c r="U686">
        <v>3473</v>
      </c>
      <c r="V686">
        <v>761</v>
      </c>
      <c r="W686">
        <v>503813</v>
      </c>
      <c r="X686">
        <v>891832</v>
      </c>
      <c r="Y686">
        <v>185317</v>
      </c>
      <c r="Z686">
        <v>374856</v>
      </c>
      <c r="AA686">
        <v>389276</v>
      </c>
      <c r="AB686">
        <v>11959</v>
      </c>
      <c r="AC686">
        <v>87518</v>
      </c>
      <c r="AD686">
        <v>35206</v>
      </c>
      <c r="AE686">
        <v>6732858</v>
      </c>
      <c r="AF686">
        <v>19393</v>
      </c>
      <c r="AG686" t="s">
        <v>99</v>
      </c>
      <c r="AH686" t="s">
        <v>100</v>
      </c>
      <c r="AI686" t="s">
        <v>99</v>
      </c>
      <c r="AJ686" t="s">
        <v>100</v>
      </c>
      <c r="AK686">
        <v>6725</v>
      </c>
      <c r="AL686" t="s">
        <v>44</v>
      </c>
      <c r="AM686">
        <v>3</v>
      </c>
      <c r="AN686">
        <v>3</v>
      </c>
      <c r="AO686">
        <v>2024</v>
      </c>
      <c r="AP686">
        <v>2</v>
      </c>
    </row>
    <row r="687" spans="1:42" x14ac:dyDescent="0.25">
      <c r="A687">
        <v>4571</v>
      </c>
      <c r="B687">
        <v>10348</v>
      </c>
      <c r="C687">
        <v>4651</v>
      </c>
      <c r="D687">
        <v>16814</v>
      </c>
      <c r="E687">
        <v>11672</v>
      </c>
      <c r="F687">
        <v>48056</v>
      </c>
      <c r="G687">
        <v>1522</v>
      </c>
      <c r="H687">
        <v>9522</v>
      </c>
      <c r="I687">
        <v>5254</v>
      </c>
      <c r="J687">
        <v>16298</v>
      </c>
      <c r="K687">
        <v>64354</v>
      </c>
      <c r="L687">
        <v>19429</v>
      </c>
      <c r="M687">
        <v>15194</v>
      </c>
      <c r="O687">
        <v>5088</v>
      </c>
      <c r="P687">
        <v>39711</v>
      </c>
      <c r="Q687">
        <v>968</v>
      </c>
      <c r="R687">
        <v>2859</v>
      </c>
      <c r="S687">
        <v>4482</v>
      </c>
      <c r="T687">
        <v>612</v>
      </c>
      <c r="V687">
        <v>13</v>
      </c>
      <c r="W687">
        <v>37470</v>
      </c>
      <c r="X687">
        <v>46404</v>
      </c>
      <c r="Y687">
        <v>1490</v>
      </c>
      <c r="Z687">
        <v>18985</v>
      </c>
      <c r="AA687">
        <v>17849</v>
      </c>
      <c r="AB687">
        <v>0</v>
      </c>
      <c r="AC687">
        <v>12700</v>
      </c>
      <c r="AD687">
        <v>194711</v>
      </c>
      <c r="AE687">
        <v>396204</v>
      </c>
      <c r="AF687">
        <v>20107</v>
      </c>
      <c r="AG687" t="s">
        <v>144</v>
      </c>
      <c r="AH687" t="s">
        <v>145</v>
      </c>
      <c r="AI687" t="s">
        <v>144</v>
      </c>
      <c r="AJ687" t="s">
        <v>145</v>
      </c>
      <c r="AK687">
        <v>16195</v>
      </c>
      <c r="AL687" t="s">
        <v>50</v>
      </c>
      <c r="AM687">
        <v>3</v>
      </c>
      <c r="AN687">
        <v>3</v>
      </c>
      <c r="AO687">
        <v>2024</v>
      </c>
      <c r="AP687">
        <v>2</v>
      </c>
    </row>
    <row r="688" spans="1:42" x14ac:dyDescent="0.25">
      <c r="A688">
        <v>4594.8599999999997</v>
      </c>
      <c r="B688">
        <v>32074.62</v>
      </c>
      <c r="C688">
        <v>7003.45</v>
      </c>
      <c r="D688">
        <v>12632.55</v>
      </c>
      <c r="E688">
        <v>4148.67</v>
      </c>
      <c r="F688">
        <v>60454.15</v>
      </c>
      <c r="G688">
        <v>7742.39</v>
      </c>
      <c r="H688">
        <v>11893.72</v>
      </c>
      <c r="I688">
        <v>3858.66</v>
      </c>
      <c r="J688">
        <v>23494.76</v>
      </c>
      <c r="K688">
        <v>83948.91</v>
      </c>
      <c r="L688">
        <v>59675.91</v>
      </c>
      <c r="M688">
        <v>2955.86</v>
      </c>
      <c r="N688">
        <v>3408.37</v>
      </c>
      <c r="O688">
        <v>1022.83</v>
      </c>
      <c r="P688">
        <v>67062.97</v>
      </c>
      <c r="Q688">
        <v>1368.95</v>
      </c>
      <c r="R688">
        <v>769.38</v>
      </c>
      <c r="S688">
        <v>1882.65</v>
      </c>
      <c r="T688">
        <v>7691.9</v>
      </c>
      <c r="U688">
        <v>793</v>
      </c>
      <c r="V688">
        <v>0</v>
      </c>
      <c r="W688">
        <v>30434.2</v>
      </c>
      <c r="X688">
        <v>42940.08</v>
      </c>
      <c r="Y688">
        <v>5598.57</v>
      </c>
      <c r="Z688">
        <v>9307.58</v>
      </c>
      <c r="AA688">
        <v>14809.87</v>
      </c>
      <c r="AB688">
        <v>5848.17</v>
      </c>
      <c r="AC688">
        <v>-143.88</v>
      </c>
      <c r="AD688">
        <v>89.61</v>
      </c>
      <c r="AE688">
        <v>229461.88</v>
      </c>
      <c r="AF688">
        <v>20422</v>
      </c>
      <c r="AG688" t="s">
        <v>93</v>
      </c>
      <c r="AH688" t="s">
        <v>94</v>
      </c>
      <c r="AI688" t="s">
        <v>93</v>
      </c>
      <c r="AJ688" t="s">
        <v>94</v>
      </c>
      <c r="AK688">
        <v>6795</v>
      </c>
      <c r="AL688" t="s">
        <v>44</v>
      </c>
      <c r="AM688">
        <v>3</v>
      </c>
      <c r="AN688">
        <v>3</v>
      </c>
      <c r="AO688">
        <v>2024</v>
      </c>
      <c r="AP688">
        <v>2</v>
      </c>
    </row>
    <row r="689" spans="1:42" x14ac:dyDescent="0.25">
      <c r="A689">
        <v>4608.4799999999996</v>
      </c>
      <c r="B689">
        <v>1002536.79</v>
      </c>
      <c r="C689">
        <v>287987.38</v>
      </c>
      <c r="D689">
        <v>294290.61</v>
      </c>
      <c r="E689">
        <v>329385.58</v>
      </c>
      <c r="F689">
        <v>1918808.82</v>
      </c>
      <c r="G689">
        <v>157470.67000000001</v>
      </c>
      <c r="H689">
        <v>542671.80000000005</v>
      </c>
      <c r="I689">
        <v>102345.23</v>
      </c>
      <c r="J689">
        <v>802487.7</v>
      </c>
      <c r="K689">
        <v>2721296.52</v>
      </c>
      <c r="L689">
        <v>1440337.97</v>
      </c>
      <c r="M689">
        <v>221956.53</v>
      </c>
      <c r="N689">
        <v>209129.83</v>
      </c>
      <c r="O689">
        <v>10041.57</v>
      </c>
      <c r="P689">
        <v>1881465.91</v>
      </c>
      <c r="Q689">
        <v>22896.51</v>
      </c>
      <c r="R689">
        <v>82761.94</v>
      </c>
      <c r="S689">
        <v>13088.01</v>
      </c>
      <c r="T689">
        <v>397103.34</v>
      </c>
      <c r="U689">
        <v>42910.97</v>
      </c>
      <c r="V689">
        <v>0</v>
      </c>
      <c r="W689">
        <v>679056.47</v>
      </c>
      <c r="X689">
        <v>1237817.23</v>
      </c>
      <c r="Y689">
        <v>172582.34</v>
      </c>
      <c r="Z689">
        <v>555096.44999999995</v>
      </c>
      <c r="AA689">
        <v>281715.65000000002</v>
      </c>
      <c r="AB689">
        <v>16920.39</v>
      </c>
      <c r="AC689">
        <v>447732.39</v>
      </c>
      <c r="AD689">
        <v>1813575.23</v>
      </c>
      <c r="AE689">
        <v>9128202.1099999994</v>
      </c>
      <c r="AF689">
        <v>19805</v>
      </c>
      <c r="AG689" t="s">
        <v>105</v>
      </c>
      <c r="AH689" t="s">
        <v>106</v>
      </c>
      <c r="AI689" t="s">
        <v>105</v>
      </c>
      <c r="AJ689" t="s">
        <v>106</v>
      </c>
      <c r="AK689" t="s">
        <v>148</v>
      </c>
      <c r="AL689" t="s">
        <v>44</v>
      </c>
      <c r="AM689">
        <v>3</v>
      </c>
      <c r="AN689">
        <v>3</v>
      </c>
      <c r="AO689">
        <v>2024</v>
      </c>
      <c r="AP689">
        <v>3</v>
      </c>
    </row>
    <row r="690" spans="1:42" x14ac:dyDescent="0.25">
      <c r="A690">
        <v>4661.62</v>
      </c>
      <c r="B690">
        <v>167628.53</v>
      </c>
      <c r="C690">
        <v>16007.34</v>
      </c>
      <c r="D690">
        <v>60370.52</v>
      </c>
      <c r="E690">
        <v>97947.48</v>
      </c>
      <c r="F690">
        <v>346615.5</v>
      </c>
      <c r="G690">
        <v>26548.13</v>
      </c>
      <c r="H690">
        <v>84490.04</v>
      </c>
      <c r="I690">
        <v>17895.41</v>
      </c>
      <c r="J690">
        <v>128933.58</v>
      </c>
      <c r="K690">
        <v>475549.08</v>
      </c>
      <c r="L690">
        <v>250509.65</v>
      </c>
      <c r="M690">
        <v>22205.1</v>
      </c>
      <c r="N690">
        <v>32978.06</v>
      </c>
      <c r="O690">
        <v>8358.19</v>
      </c>
      <c r="P690">
        <v>314051</v>
      </c>
      <c r="Q690">
        <v>6901.63</v>
      </c>
      <c r="R690">
        <v>26926.41</v>
      </c>
      <c r="S690">
        <v>2922.93</v>
      </c>
      <c r="T690">
        <v>58790.35</v>
      </c>
      <c r="U690">
        <v>13086.56</v>
      </c>
      <c r="V690">
        <v>255.13</v>
      </c>
      <c r="W690">
        <v>131031.05</v>
      </c>
      <c r="X690">
        <v>239914.06</v>
      </c>
      <c r="Y690">
        <v>32059.919999999998</v>
      </c>
      <c r="Z690">
        <v>54398.17</v>
      </c>
      <c r="AA690">
        <v>70100.649999999994</v>
      </c>
      <c r="AB690">
        <v>2232.83</v>
      </c>
      <c r="AC690">
        <v>21496.15</v>
      </c>
      <c r="AD690">
        <v>61368.46</v>
      </c>
      <c r="AE690">
        <v>1271170.31</v>
      </c>
      <c r="AF690">
        <v>19977</v>
      </c>
      <c r="AG690" t="s">
        <v>142</v>
      </c>
      <c r="AH690" t="s">
        <v>143</v>
      </c>
      <c r="AI690" t="s">
        <v>142</v>
      </c>
      <c r="AJ690" t="s">
        <v>143</v>
      </c>
      <c r="AK690">
        <v>10876</v>
      </c>
      <c r="AL690" t="s">
        <v>50</v>
      </c>
      <c r="AM690">
        <v>3</v>
      </c>
      <c r="AN690">
        <v>3</v>
      </c>
      <c r="AO690">
        <v>2024</v>
      </c>
      <c r="AP690">
        <v>4</v>
      </c>
    </row>
    <row r="691" spans="1:42" x14ac:dyDescent="0.25">
      <c r="A691">
        <v>4669</v>
      </c>
      <c r="B691">
        <v>219872</v>
      </c>
      <c r="C691">
        <v>26363</v>
      </c>
      <c r="D691">
        <v>68505</v>
      </c>
      <c r="E691">
        <v>84578</v>
      </c>
      <c r="F691">
        <v>403987</v>
      </c>
      <c r="G691">
        <v>29441</v>
      </c>
      <c r="H691">
        <v>92614</v>
      </c>
      <c r="I691">
        <v>22772</v>
      </c>
      <c r="J691">
        <v>144827</v>
      </c>
      <c r="K691">
        <v>548814</v>
      </c>
      <c r="L691">
        <v>426953</v>
      </c>
      <c r="M691">
        <v>36225</v>
      </c>
      <c r="N691">
        <v>45854</v>
      </c>
      <c r="O691">
        <v>15696</v>
      </c>
      <c r="P691">
        <v>524728</v>
      </c>
      <c r="Q691">
        <v>11828</v>
      </c>
      <c r="R691">
        <v>12010</v>
      </c>
      <c r="S691">
        <v>2515</v>
      </c>
      <c r="T691">
        <v>48686</v>
      </c>
      <c r="U691">
        <v>15536</v>
      </c>
      <c r="V691">
        <v>386</v>
      </c>
      <c r="W691">
        <v>159989</v>
      </c>
      <c r="X691">
        <v>250950</v>
      </c>
      <c r="Y691">
        <v>28730</v>
      </c>
      <c r="Z691">
        <v>81055</v>
      </c>
      <c r="AA691">
        <v>58794</v>
      </c>
      <c r="AB691">
        <v>13190</v>
      </c>
      <c r="AC691">
        <v>15426</v>
      </c>
      <c r="AD691">
        <v>21979</v>
      </c>
      <c r="AE691">
        <v>1543666</v>
      </c>
      <c r="AF691">
        <v>19790</v>
      </c>
      <c r="AG691" t="s">
        <v>134</v>
      </c>
      <c r="AH691" t="s">
        <v>135</v>
      </c>
      <c r="AI691" t="s">
        <v>134</v>
      </c>
      <c r="AJ691" t="s">
        <v>135</v>
      </c>
      <c r="AK691">
        <v>10261</v>
      </c>
      <c r="AL691" t="s">
        <v>53</v>
      </c>
      <c r="AM691">
        <v>3</v>
      </c>
      <c r="AN691">
        <v>3</v>
      </c>
      <c r="AO691">
        <v>2024</v>
      </c>
      <c r="AP691">
        <v>1</v>
      </c>
    </row>
    <row r="692" spans="1:42" x14ac:dyDescent="0.25">
      <c r="A692">
        <v>4676</v>
      </c>
      <c r="B692">
        <v>11527</v>
      </c>
      <c r="C692">
        <v>4105</v>
      </c>
      <c r="D692">
        <v>14370</v>
      </c>
      <c r="E692">
        <v>11802</v>
      </c>
      <c r="F692">
        <v>46480</v>
      </c>
      <c r="G692">
        <v>1349</v>
      </c>
      <c r="H692">
        <v>4935</v>
      </c>
      <c r="I692">
        <v>4289</v>
      </c>
      <c r="J692">
        <v>10573</v>
      </c>
      <c r="K692">
        <v>57053</v>
      </c>
      <c r="L692">
        <v>18896</v>
      </c>
      <c r="M692">
        <v>15814</v>
      </c>
      <c r="O692">
        <v>2297</v>
      </c>
      <c r="P692">
        <v>37007</v>
      </c>
      <c r="Q692">
        <v>406</v>
      </c>
      <c r="R692">
        <v>2771</v>
      </c>
      <c r="S692">
        <v>547</v>
      </c>
      <c r="T692">
        <v>787</v>
      </c>
      <c r="V692">
        <v>14</v>
      </c>
      <c r="W692">
        <v>33746</v>
      </c>
      <c r="X692">
        <v>38271</v>
      </c>
      <c r="Y692">
        <v>1265</v>
      </c>
      <c r="Z692">
        <v>21549</v>
      </c>
      <c r="AA692">
        <v>22606</v>
      </c>
      <c r="AB692">
        <v>0</v>
      </c>
      <c r="AC692">
        <v>7</v>
      </c>
      <c r="AD692">
        <v>191956</v>
      </c>
      <c r="AE692">
        <v>369714</v>
      </c>
      <c r="AF692">
        <v>20107</v>
      </c>
      <c r="AG692" t="s">
        <v>144</v>
      </c>
      <c r="AH692" t="s">
        <v>145</v>
      </c>
      <c r="AI692" t="s">
        <v>144</v>
      </c>
      <c r="AJ692" t="s">
        <v>145</v>
      </c>
      <c r="AK692">
        <v>16195</v>
      </c>
      <c r="AL692" t="s">
        <v>50</v>
      </c>
      <c r="AM692">
        <v>3</v>
      </c>
      <c r="AN692">
        <v>3</v>
      </c>
      <c r="AO692">
        <v>2024</v>
      </c>
      <c r="AP692">
        <v>3</v>
      </c>
    </row>
    <row r="693" spans="1:42" x14ac:dyDescent="0.25">
      <c r="A693">
        <v>4741.63</v>
      </c>
      <c r="B693">
        <v>52715.17</v>
      </c>
      <c r="C693">
        <v>2264.4699999999998</v>
      </c>
      <c r="D693">
        <v>3415.37</v>
      </c>
      <c r="E693">
        <v>12978.76</v>
      </c>
      <c r="F693">
        <v>76115.399999999994</v>
      </c>
      <c r="G693">
        <v>28857.08</v>
      </c>
      <c r="H693">
        <v>14461.2</v>
      </c>
      <c r="I693">
        <v>6180.79</v>
      </c>
      <c r="J693">
        <v>49499.07</v>
      </c>
      <c r="K693">
        <v>125614.47</v>
      </c>
      <c r="L693">
        <v>73964.789999999994</v>
      </c>
      <c r="M693">
        <v>13012.77</v>
      </c>
      <c r="N693">
        <v>219.43</v>
      </c>
      <c r="O693">
        <v>3309.72</v>
      </c>
      <c r="P693">
        <v>90506.71</v>
      </c>
      <c r="Q693">
        <v>272.44</v>
      </c>
      <c r="R693">
        <v>9156.2800000000007</v>
      </c>
      <c r="S693">
        <v>1548.45</v>
      </c>
      <c r="T693">
        <v>17651.12</v>
      </c>
      <c r="U693">
        <v>1564.2</v>
      </c>
      <c r="V693">
        <v>691.62</v>
      </c>
      <c r="W693">
        <v>25620.06</v>
      </c>
      <c r="X693">
        <v>56504.17</v>
      </c>
      <c r="Y693">
        <v>8611.92</v>
      </c>
      <c r="Z693">
        <v>16312.03</v>
      </c>
      <c r="AA693">
        <v>17018.759999999998</v>
      </c>
      <c r="AB693">
        <v>0</v>
      </c>
      <c r="AC693">
        <v>4423.16</v>
      </c>
      <c r="AD693">
        <v>85.11</v>
      </c>
      <c r="AE693">
        <v>319076.33</v>
      </c>
      <c r="AF693">
        <v>20007</v>
      </c>
      <c r="AG693" t="s">
        <v>140</v>
      </c>
      <c r="AH693" t="s">
        <v>141</v>
      </c>
      <c r="AI693" t="s">
        <v>140</v>
      </c>
      <c r="AJ693" t="s">
        <v>141</v>
      </c>
      <c r="AK693">
        <v>6087</v>
      </c>
      <c r="AL693" t="s">
        <v>44</v>
      </c>
      <c r="AM693">
        <v>3</v>
      </c>
      <c r="AN693">
        <v>3</v>
      </c>
      <c r="AO693">
        <v>2024</v>
      </c>
      <c r="AP693">
        <v>1</v>
      </c>
    </row>
    <row r="694" spans="1:42" x14ac:dyDescent="0.25">
      <c r="A694">
        <v>4846</v>
      </c>
      <c r="B694">
        <v>14691</v>
      </c>
      <c r="C694">
        <v>3171</v>
      </c>
      <c r="D694">
        <v>15007</v>
      </c>
      <c r="E694">
        <v>11282</v>
      </c>
      <c r="F694">
        <v>48997</v>
      </c>
      <c r="G694">
        <v>1259</v>
      </c>
      <c r="H694">
        <v>5848</v>
      </c>
      <c r="I694">
        <v>3982</v>
      </c>
      <c r="J694">
        <v>11089</v>
      </c>
      <c r="K694">
        <v>60086</v>
      </c>
      <c r="L694">
        <v>21639</v>
      </c>
      <c r="M694">
        <v>9658</v>
      </c>
      <c r="O694">
        <v>3470</v>
      </c>
      <c r="P694">
        <v>34767</v>
      </c>
      <c r="Q694">
        <v>669</v>
      </c>
      <c r="R694">
        <v>3495</v>
      </c>
      <c r="S694">
        <v>1031</v>
      </c>
      <c r="T694">
        <v>407</v>
      </c>
      <c r="V694">
        <v>25</v>
      </c>
      <c r="W694">
        <v>27277</v>
      </c>
      <c r="X694">
        <v>32904</v>
      </c>
      <c r="Y694">
        <v>1566</v>
      </c>
      <c r="Z694">
        <v>19133</v>
      </c>
      <c r="AA694">
        <v>26467</v>
      </c>
      <c r="AB694">
        <v>0</v>
      </c>
      <c r="AC694">
        <v>5229</v>
      </c>
      <c r="AD694">
        <v>188936</v>
      </c>
      <c r="AE694">
        <v>369088</v>
      </c>
      <c r="AF694">
        <v>20107</v>
      </c>
      <c r="AG694" t="s">
        <v>144</v>
      </c>
      <c r="AH694" t="s">
        <v>145</v>
      </c>
      <c r="AI694" t="s">
        <v>144</v>
      </c>
      <c r="AJ694" t="s">
        <v>145</v>
      </c>
      <c r="AK694">
        <v>16195</v>
      </c>
      <c r="AL694" t="s">
        <v>50</v>
      </c>
      <c r="AM694">
        <v>3</v>
      </c>
      <c r="AN694">
        <v>3</v>
      </c>
      <c r="AO694">
        <v>2024</v>
      </c>
      <c r="AP694">
        <v>4</v>
      </c>
    </row>
    <row r="695" spans="1:42" x14ac:dyDescent="0.25">
      <c r="A695">
        <v>4876.8999999999996</v>
      </c>
      <c r="B695">
        <v>42095.839999999997</v>
      </c>
      <c r="C695">
        <v>34708.81</v>
      </c>
      <c r="D695">
        <v>6544.21</v>
      </c>
      <c r="F695">
        <v>88225.75</v>
      </c>
      <c r="G695">
        <v>22369.8</v>
      </c>
      <c r="H695">
        <v>10960.01</v>
      </c>
      <c r="I695">
        <v>5877.99</v>
      </c>
      <c r="J695">
        <v>39207.800000000003</v>
      </c>
      <c r="K695">
        <v>127433.55</v>
      </c>
      <c r="L695">
        <v>114580.47</v>
      </c>
      <c r="M695">
        <v>15918.08</v>
      </c>
      <c r="O695">
        <v>164.45</v>
      </c>
      <c r="P695">
        <v>130662.99</v>
      </c>
      <c r="Q695">
        <v>2233.44</v>
      </c>
      <c r="R695">
        <v>1408.76</v>
      </c>
      <c r="S695">
        <v>1269.05</v>
      </c>
      <c r="T695">
        <v>43896.08</v>
      </c>
      <c r="V695">
        <v>9298.7099999999991</v>
      </c>
      <c r="W695">
        <v>33829.949999999997</v>
      </c>
      <c r="X695">
        <v>91935.98</v>
      </c>
      <c r="Y695">
        <v>4492.08</v>
      </c>
      <c r="Z695">
        <v>4611.05</v>
      </c>
      <c r="AA695">
        <v>20541.3</v>
      </c>
      <c r="AD695">
        <v>62602.99</v>
      </c>
      <c r="AE695">
        <v>442279.93</v>
      </c>
      <c r="AF695">
        <v>20370</v>
      </c>
      <c r="AG695" t="s">
        <v>81</v>
      </c>
      <c r="AH695" t="s">
        <v>82</v>
      </c>
      <c r="AI695" t="s">
        <v>81</v>
      </c>
      <c r="AJ695" t="s">
        <v>82</v>
      </c>
      <c r="AK695">
        <v>16683</v>
      </c>
      <c r="AL695" t="s">
        <v>47</v>
      </c>
      <c r="AM695">
        <v>3</v>
      </c>
      <c r="AN695">
        <v>3</v>
      </c>
      <c r="AO695">
        <v>2024</v>
      </c>
      <c r="AP695">
        <v>2</v>
      </c>
    </row>
    <row r="696" spans="1:42" x14ac:dyDescent="0.25">
      <c r="A696">
        <v>4943.91</v>
      </c>
      <c r="B696">
        <v>267518.36</v>
      </c>
      <c r="C696">
        <v>17912.189999999999</v>
      </c>
      <c r="D696">
        <v>49970.879999999997</v>
      </c>
      <c r="E696">
        <v>86673.7</v>
      </c>
      <c r="F696">
        <v>427019.03</v>
      </c>
      <c r="G696">
        <v>44540.18</v>
      </c>
      <c r="H696">
        <v>104665.15</v>
      </c>
      <c r="I696">
        <v>39589.279999999999</v>
      </c>
      <c r="J696">
        <v>188794.6</v>
      </c>
      <c r="K696">
        <v>615813.63</v>
      </c>
      <c r="L696">
        <v>520431.62</v>
      </c>
      <c r="M696">
        <v>25014.93</v>
      </c>
      <c r="N696">
        <v>76961.75</v>
      </c>
      <c r="O696">
        <v>11695.06</v>
      </c>
      <c r="P696">
        <v>634103.35</v>
      </c>
      <c r="Q696">
        <v>9890.5300000000007</v>
      </c>
      <c r="R696">
        <v>47666.37</v>
      </c>
      <c r="S696">
        <v>4960.82</v>
      </c>
      <c r="T696">
        <v>120203.46</v>
      </c>
      <c r="U696">
        <v>24947.82</v>
      </c>
      <c r="V696">
        <v>1579.8</v>
      </c>
      <c r="W696">
        <v>182633.17</v>
      </c>
      <c r="X696">
        <v>391881.97</v>
      </c>
      <c r="Y696">
        <v>34830.28</v>
      </c>
      <c r="Z696">
        <v>39691.26</v>
      </c>
      <c r="AA696">
        <v>133082.01</v>
      </c>
      <c r="AB696">
        <v>1902.38</v>
      </c>
      <c r="AC696">
        <v>26745.21</v>
      </c>
      <c r="AD696">
        <v>32073.19</v>
      </c>
      <c r="AE696">
        <v>1910123.27</v>
      </c>
      <c r="AF696">
        <v>19977</v>
      </c>
      <c r="AG696" t="s">
        <v>142</v>
      </c>
      <c r="AH696" t="s">
        <v>143</v>
      </c>
      <c r="AI696" t="s">
        <v>142</v>
      </c>
      <c r="AJ696" t="s">
        <v>143</v>
      </c>
      <c r="AK696">
        <v>10874</v>
      </c>
      <c r="AL696" t="s">
        <v>53</v>
      </c>
      <c r="AM696">
        <v>3</v>
      </c>
      <c r="AN696">
        <v>3</v>
      </c>
      <c r="AO696">
        <v>2024</v>
      </c>
      <c r="AP696">
        <v>1</v>
      </c>
    </row>
    <row r="697" spans="1:42" x14ac:dyDescent="0.25">
      <c r="A697">
        <v>4956.82</v>
      </c>
      <c r="B697">
        <v>136766.07</v>
      </c>
      <c r="C697">
        <v>18797</v>
      </c>
      <c r="D697">
        <v>4894.82</v>
      </c>
      <c r="E697">
        <v>18387.38</v>
      </c>
      <c r="F697">
        <v>183802.1</v>
      </c>
      <c r="G697">
        <v>20735.23</v>
      </c>
      <c r="H697">
        <v>31039.95</v>
      </c>
      <c r="I697">
        <v>10920.88</v>
      </c>
      <c r="J697">
        <v>62696.06</v>
      </c>
      <c r="K697">
        <v>246498.16</v>
      </c>
      <c r="L697">
        <v>237975.15</v>
      </c>
      <c r="M697">
        <v>7650</v>
      </c>
      <c r="N697">
        <v>10.36</v>
      </c>
      <c r="O697">
        <v>3008.03</v>
      </c>
      <c r="P697">
        <v>248643.55</v>
      </c>
      <c r="Q697">
        <v>1146.23</v>
      </c>
      <c r="R697">
        <v>2263.42</v>
      </c>
      <c r="S697">
        <v>2815.26</v>
      </c>
      <c r="T697">
        <v>31077.95</v>
      </c>
      <c r="U697">
        <v>3668.14</v>
      </c>
      <c r="V697">
        <v>0</v>
      </c>
      <c r="W697">
        <v>101378.31</v>
      </c>
      <c r="X697">
        <v>142349.32</v>
      </c>
      <c r="Y697">
        <v>31218.240000000002</v>
      </c>
      <c r="Z697">
        <v>221776.04</v>
      </c>
      <c r="AA697">
        <v>18083.91</v>
      </c>
      <c r="AB697">
        <v>105.38</v>
      </c>
      <c r="AC697">
        <v>-36758.04</v>
      </c>
      <c r="AD697">
        <v>0</v>
      </c>
      <c r="AE697">
        <v>871916.55</v>
      </c>
      <c r="AF697">
        <v>20436</v>
      </c>
      <c r="AG697" t="s">
        <v>122</v>
      </c>
      <c r="AH697" t="s">
        <v>123</v>
      </c>
      <c r="AI697" t="s">
        <v>122</v>
      </c>
      <c r="AJ697" t="s">
        <v>123</v>
      </c>
      <c r="AK697">
        <v>6460</v>
      </c>
      <c r="AL697" t="s">
        <v>44</v>
      </c>
      <c r="AM697">
        <v>3</v>
      </c>
      <c r="AN697">
        <v>3</v>
      </c>
      <c r="AO697">
        <v>2024</v>
      </c>
      <c r="AP697">
        <v>3</v>
      </c>
    </row>
    <row r="698" spans="1:42" x14ac:dyDescent="0.25">
      <c r="A698">
        <v>4960</v>
      </c>
      <c r="B698">
        <v>9830</v>
      </c>
      <c r="C698">
        <v>4028</v>
      </c>
      <c r="D698">
        <v>26329</v>
      </c>
      <c r="E698">
        <v>14389</v>
      </c>
      <c r="F698">
        <v>59536</v>
      </c>
      <c r="G698">
        <v>1865</v>
      </c>
      <c r="H698">
        <v>5417</v>
      </c>
      <c r="I698">
        <v>6339</v>
      </c>
      <c r="J698">
        <v>13621</v>
      </c>
      <c r="K698">
        <v>73157</v>
      </c>
      <c r="L698">
        <v>19461</v>
      </c>
      <c r="M698">
        <v>12695</v>
      </c>
      <c r="O698">
        <v>5964</v>
      </c>
      <c r="P698">
        <v>38120</v>
      </c>
      <c r="Q698">
        <v>562</v>
      </c>
      <c r="R698">
        <v>2804</v>
      </c>
      <c r="S698">
        <v>3905</v>
      </c>
      <c r="T698">
        <v>577</v>
      </c>
      <c r="V698">
        <v>10</v>
      </c>
      <c r="W698">
        <v>40879</v>
      </c>
      <c r="X698">
        <v>48737</v>
      </c>
      <c r="Y698">
        <v>1470</v>
      </c>
      <c r="Z698">
        <v>20762</v>
      </c>
      <c r="AA698">
        <v>17784</v>
      </c>
      <c r="AB698">
        <v>0</v>
      </c>
      <c r="AC698">
        <v>18601</v>
      </c>
      <c r="AD698">
        <v>197610</v>
      </c>
      <c r="AE698">
        <v>416241</v>
      </c>
      <c r="AF698">
        <v>20107</v>
      </c>
      <c r="AG698" t="s">
        <v>144</v>
      </c>
      <c r="AH698" t="s">
        <v>145</v>
      </c>
      <c r="AI698" t="s">
        <v>144</v>
      </c>
      <c r="AJ698" t="s">
        <v>145</v>
      </c>
      <c r="AK698">
        <v>16195</v>
      </c>
      <c r="AL698" t="s">
        <v>50</v>
      </c>
      <c r="AM698">
        <v>3</v>
      </c>
      <c r="AN698">
        <v>3</v>
      </c>
      <c r="AO698">
        <v>2024</v>
      </c>
      <c r="AP698">
        <v>1</v>
      </c>
    </row>
    <row r="699" spans="1:42" x14ac:dyDescent="0.25">
      <c r="A699">
        <v>5044.1400000000003</v>
      </c>
      <c r="B699">
        <v>2044.42</v>
      </c>
      <c r="C699">
        <v>3278.91</v>
      </c>
      <c r="D699">
        <v>8450.58</v>
      </c>
      <c r="E699">
        <v>288.29000000000002</v>
      </c>
      <c r="F699">
        <v>19106.34</v>
      </c>
      <c r="G699">
        <v>934.85</v>
      </c>
      <c r="H699">
        <v>1440.59</v>
      </c>
      <c r="I699">
        <v>1305.3800000000001</v>
      </c>
      <c r="J699">
        <v>3680.82</v>
      </c>
      <c r="K699">
        <v>22787.16</v>
      </c>
      <c r="L699">
        <v>22242.05</v>
      </c>
      <c r="M699">
        <v>7012.06</v>
      </c>
      <c r="N699">
        <v>59.22</v>
      </c>
      <c r="O699">
        <v>439.83</v>
      </c>
      <c r="P699">
        <v>29753.15</v>
      </c>
      <c r="Q699">
        <v>783.17</v>
      </c>
      <c r="R699">
        <v>20.48</v>
      </c>
      <c r="S699">
        <v>1302.8499999999999</v>
      </c>
      <c r="T699">
        <v>193.42</v>
      </c>
      <c r="U699">
        <v>0</v>
      </c>
      <c r="V699">
        <v>0</v>
      </c>
      <c r="W699">
        <v>9163.76</v>
      </c>
      <c r="X699">
        <v>11463.68</v>
      </c>
      <c r="Y699">
        <v>2353.5100000000002</v>
      </c>
      <c r="Z699">
        <v>8275</v>
      </c>
      <c r="AA699">
        <v>519.52</v>
      </c>
      <c r="AB699">
        <v>1252.8</v>
      </c>
      <c r="AC699">
        <v>0</v>
      </c>
      <c r="AD699">
        <v>195.05</v>
      </c>
      <c r="AE699">
        <v>76599.86</v>
      </c>
      <c r="AF699">
        <v>20207</v>
      </c>
      <c r="AG699" t="s">
        <v>149</v>
      </c>
      <c r="AH699" t="s">
        <v>150</v>
      </c>
      <c r="AI699" t="s">
        <v>149</v>
      </c>
      <c r="AJ699" t="s">
        <v>150</v>
      </c>
      <c r="AK699">
        <v>6144</v>
      </c>
      <c r="AL699" t="s">
        <v>44</v>
      </c>
      <c r="AM699">
        <v>2</v>
      </c>
      <c r="AN699">
        <v>2</v>
      </c>
      <c r="AO699">
        <v>2024</v>
      </c>
      <c r="AP699">
        <v>3</v>
      </c>
    </row>
    <row r="700" spans="1:42" x14ac:dyDescent="0.25">
      <c r="A700">
        <v>5045.66</v>
      </c>
      <c r="B700">
        <v>2031.14</v>
      </c>
      <c r="C700">
        <v>3165.86</v>
      </c>
      <c r="D700">
        <v>8180.09</v>
      </c>
      <c r="E700">
        <v>310.35000000000002</v>
      </c>
      <c r="F700">
        <v>18733.099999999999</v>
      </c>
      <c r="G700">
        <v>1400.32</v>
      </c>
      <c r="H700">
        <v>2115.5</v>
      </c>
      <c r="I700">
        <v>1473.55</v>
      </c>
      <c r="J700">
        <v>4989.37</v>
      </c>
      <c r="K700">
        <v>23722.47</v>
      </c>
      <c r="L700">
        <v>22257.45</v>
      </c>
      <c r="M700">
        <v>6410.06</v>
      </c>
      <c r="N700">
        <v>92.77</v>
      </c>
      <c r="O700">
        <v>518.12</v>
      </c>
      <c r="P700">
        <v>29278.400000000001</v>
      </c>
      <c r="Q700">
        <v>896.19</v>
      </c>
      <c r="R700">
        <v>30.92</v>
      </c>
      <c r="S700">
        <v>843.22</v>
      </c>
      <c r="T700">
        <v>223.8</v>
      </c>
      <c r="U700">
        <v>0</v>
      </c>
      <c r="V700">
        <v>0</v>
      </c>
      <c r="W700">
        <v>7505.43</v>
      </c>
      <c r="X700">
        <v>9499.5499999999993</v>
      </c>
      <c r="Y700">
        <v>2017.18</v>
      </c>
      <c r="Z700">
        <v>7827.01</v>
      </c>
      <c r="AA700">
        <v>530.83000000000004</v>
      </c>
      <c r="AB700">
        <v>848.45</v>
      </c>
      <c r="AC700">
        <v>0</v>
      </c>
      <c r="AD700">
        <v>129.76</v>
      </c>
      <c r="AE700">
        <v>73853.649999999994</v>
      </c>
      <c r="AF700">
        <v>20207</v>
      </c>
      <c r="AG700" t="s">
        <v>149</v>
      </c>
      <c r="AH700" t="s">
        <v>150</v>
      </c>
      <c r="AI700" t="s">
        <v>149</v>
      </c>
      <c r="AJ700" t="s">
        <v>150</v>
      </c>
      <c r="AK700">
        <v>6144</v>
      </c>
      <c r="AL700" t="s">
        <v>44</v>
      </c>
      <c r="AM700">
        <v>2</v>
      </c>
      <c r="AN700">
        <v>2</v>
      </c>
      <c r="AO700">
        <v>2024</v>
      </c>
      <c r="AP700">
        <v>2</v>
      </c>
    </row>
    <row r="701" spans="1:42" x14ac:dyDescent="0.25">
      <c r="A701">
        <v>5122.2299999999996</v>
      </c>
      <c r="B701">
        <v>33350.379999999997</v>
      </c>
      <c r="C701">
        <v>7202.84</v>
      </c>
      <c r="D701">
        <v>12435.45</v>
      </c>
      <c r="E701">
        <v>4226.12</v>
      </c>
      <c r="F701">
        <v>62337.02</v>
      </c>
      <c r="G701">
        <v>7738.95</v>
      </c>
      <c r="H701">
        <v>13035.2</v>
      </c>
      <c r="I701">
        <v>3318.06</v>
      </c>
      <c r="J701">
        <v>24092.21</v>
      </c>
      <c r="K701">
        <v>86429.23</v>
      </c>
      <c r="L701">
        <v>53069.66</v>
      </c>
      <c r="M701">
        <v>5798.51</v>
      </c>
      <c r="N701">
        <v>3113.13</v>
      </c>
      <c r="O701">
        <v>958.98</v>
      </c>
      <c r="P701">
        <v>62940.27</v>
      </c>
      <c r="Q701">
        <v>1110.8699999999999</v>
      </c>
      <c r="R701">
        <v>791.82</v>
      </c>
      <c r="S701">
        <v>1955.02</v>
      </c>
      <c r="T701">
        <v>6249.51</v>
      </c>
      <c r="U701">
        <v>775.74</v>
      </c>
      <c r="V701">
        <v>0</v>
      </c>
      <c r="W701">
        <v>29896.45</v>
      </c>
      <c r="X701">
        <v>40779.410000000003</v>
      </c>
      <c r="Y701">
        <v>5944.15</v>
      </c>
      <c r="Z701">
        <v>11591.84</v>
      </c>
      <c r="AA701">
        <v>14987.2</v>
      </c>
      <c r="AB701">
        <v>6150.58</v>
      </c>
      <c r="AC701">
        <v>-458.98</v>
      </c>
      <c r="AD701">
        <v>113.96</v>
      </c>
      <c r="AE701">
        <v>228477.66</v>
      </c>
      <c r="AF701">
        <v>20422</v>
      </c>
      <c r="AG701" t="s">
        <v>93</v>
      </c>
      <c r="AH701" t="s">
        <v>94</v>
      </c>
      <c r="AI701" t="s">
        <v>93</v>
      </c>
      <c r="AJ701" t="s">
        <v>94</v>
      </c>
      <c r="AK701">
        <v>6795</v>
      </c>
      <c r="AL701" t="s">
        <v>44</v>
      </c>
      <c r="AM701">
        <v>3</v>
      </c>
      <c r="AN701">
        <v>3</v>
      </c>
      <c r="AO701">
        <v>2024</v>
      </c>
      <c r="AP701">
        <v>3</v>
      </c>
    </row>
    <row r="702" spans="1:42" x14ac:dyDescent="0.25">
      <c r="A702">
        <v>5156.78</v>
      </c>
      <c r="B702">
        <v>1910.32</v>
      </c>
      <c r="C702">
        <v>3163.39</v>
      </c>
      <c r="D702">
        <v>8836.56</v>
      </c>
      <c r="E702">
        <v>318.58999999999997</v>
      </c>
      <c r="F702">
        <v>19385.63</v>
      </c>
      <c r="G702">
        <v>1548.72</v>
      </c>
      <c r="H702">
        <v>1873.26</v>
      </c>
      <c r="I702">
        <v>1630.5</v>
      </c>
      <c r="J702">
        <v>5052.47</v>
      </c>
      <c r="K702">
        <v>24438.11</v>
      </c>
      <c r="L702">
        <v>25499.61</v>
      </c>
      <c r="M702">
        <v>5957.31</v>
      </c>
      <c r="N702">
        <v>181.41</v>
      </c>
      <c r="O702">
        <v>513.54999999999995</v>
      </c>
      <c r="P702">
        <v>32151.88</v>
      </c>
      <c r="Q702">
        <v>466.93</v>
      </c>
      <c r="R702">
        <v>18.77</v>
      </c>
      <c r="S702">
        <v>1039.3900000000001</v>
      </c>
      <c r="T702">
        <v>299.66000000000003</v>
      </c>
      <c r="U702">
        <v>0</v>
      </c>
      <c r="V702">
        <v>0</v>
      </c>
      <c r="W702">
        <v>8832.25</v>
      </c>
      <c r="X702">
        <v>10657.01</v>
      </c>
      <c r="Y702">
        <v>2755.55</v>
      </c>
      <c r="Z702">
        <v>7594.94</v>
      </c>
      <c r="AA702">
        <v>553.55999999999995</v>
      </c>
      <c r="AB702">
        <v>671.51</v>
      </c>
      <c r="AC702">
        <v>0</v>
      </c>
      <c r="AD702">
        <v>150.69</v>
      </c>
      <c r="AE702">
        <v>78973.259999999995</v>
      </c>
      <c r="AF702">
        <v>20207</v>
      </c>
      <c r="AG702" t="s">
        <v>149</v>
      </c>
      <c r="AH702" t="s">
        <v>150</v>
      </c>
      <c r="AI702" t="s">
        <v>149</v>
      </c>
      <c r="AJ702" t="s">
        <v>150</v>
      </c>
      <c r="AK702">
        <v>6144</v>
      </c>
      <c r="AL702" t="s">
        <v>44</v>
      </c>
      <c r="AM702">
        <v>2</v>
      </c>
      <c r="AN702">
        <v>2</v>
      </c>
      <c r="AO702">
        <v>2024</v>
      </c>
      <c r="AP702">
        <v>1</v>
      </c>
    </row>
    <row r="703" spans="1:42" x14ac:dyDescent="0.25">
      <c r="A703">
        <v>5198.13</v>
      </c>
      <c r="B703">
        <v>55212.88</v>
      </c>
      <c r="C703">
        <v>2137.12</v>
      </c>
      <c r="D703">
        <v>2782.48</v>
      </c>
      <c r="E703">
        <v>11091.54</v>
      </c>
      <c r="F703">
        <v>76422.14</v>
      </c>
      <c r="G703">
        <v>26321.77</v>
      </c>
      <c r="H703">
        <v>13453.77</v>
      </c>
      <c r="I703">
        <v>3600.43</v>
      </c>
      <c r="J703">
        <v>43375.98</v>
      </c>
      <c r="K703">
        <v>119798.12</v>
      </c>
      <c r="L703">
        <v>83823.179999999993</v>
      </c>
      <c r="M703">
        <v>13654.15</v>
      </c>
      <c r="N703">
        <v>193.8</v>
      </c>
      <c r="O703">
        <v>2794.19</v>
      </c>
      <c r="P703">
        <v>100465.32</v>
      </c>
      <c r="Q703">
        <v>197.71</v>
      </c>
      <c r="R703">
        <v>9426.33</v>
      </c>
      <c r="S703">
        <v>1418.29</v>
      </c>
      <c r="T703">
        <v>16793.400000000001</v>
      </c>
      <c r="U703">
        <v>1160.9100000000001</v>
      </c>
      <c r="V703">
        <v>326.06</v>
      </c>
      <c r="W703">
        <v>23843.22</v>
      </c>
      <c r="X703">
        <v>53165.91</v>
      </c>
      <c r="Y703">
        <v>8919.9500000000007</v>
      </c>
      <c r="Z703">
        <v>13974.51</v>
      </c>
      <c r="AA703">
        <v>21053.47</v>
      </c>
      <c r="AB703">
        <v>0</v>
      </c>
      <c r="AC703">
        <v>18074.990000000002</v>
      </c>
      <c r="AD703">
        <v>122.1</v>
      </c>
      <c r="AE703">
        <v>335574.37</v>
      </c>
      <c r="AF703">
        <v>20007</v>
      </c>
      <c r="AG703" t="s">
        <v>140</v>
      </c>
      <c r="AH703" t="s">
        <v>141</v>
      </c>
      <c r="AI703" t="s">
        <v>140</v>
      </c>
      <c r="AJ703" t="s">
        <v>141</v>
      </c>
      <c r="AK703">
        <v>6087</v>
      </c>
      <c r="AL703" t="s">
        <v>44</v>
      </c>
      <c r="AM703">
        <v>3</v>
      </c>
      <c r="AN703">
        <v>3</v>
      </c>
      <c r="AO703">
        <v>2024</v>
      </c>
      <c r="AP703">
        <v>3</v>
      </c>
    </row>
    <row r="704" spans="1:42" x14ac:dyDescent="0.25">
      <c r="A704">
        <v>5221.5</v>
      </c>
      <c r="B704">
        <v>1002915.16</v>
      </c>
      <c r="C704">
        <v>273775.96999999997</v>
      </c>
      <c r="D704">
        <v>287922.21999999997</v>
      </c>
      <c r="E704">
        <v>307410.65999999997</v>
      </c>
      <c r="F704">
        <v>1877245.5</v>
      </c>
      <c r="G704">
        <v>160508.28</v>
      </c>
      <c r="H704">
        <v>474544.28</v>
      </c>
      <c r="I704">
        <v>114130.65</v>
      </c>
      <c r="J704">
        <v>749183.21</v>
      </c>
      <c r="K704">
        <v>2626428.71</v>
      </c>
      <c r="L704">
        <v>1551996.29</v>
      </c>
      <c r="M704">
        <v>232020.49</v>
      </c>
      <c r="N704">
        <v>203157.99</v>
      </c>
      <c r="O704">
        <v>13455.53</v>
      </c>
      <c r="P704">
        <v>2000630.29</v>
      </c>
      <c r="Q704">
        <v>18807.21</v>
      </c>
      <c r="R704">
        <v>81392.240000000005</v>
      </c>
      <c r="S704">
        <v>13573.57</v>
      </c>
      <c r="T704">
        <v>361116.35</v>
      </c>
      <c r="U704">
        <v>33086.86</v>
      </c>
      <c r="V704">
        <v>0</v>
      </c>
      <c r="W704">
        <v>671722.19</v>
      </c>
      <c r="X704">
        <v>1179698.43</v>
      </c>
      <c r="Y704">
        <v>179499.28</v>
      </c>
      <c r="Z704">
        <v>537493.03</v>
      </c>
      <c r="AA704">
        <v>277608.89</v>
      </c>
      <c r="AB704">
        <v>16904.53</v>
      </c>
      <c r="AC704">
        <v>87017.18</v>
      </c>
      <c r="AD704">
        <v>1824856.22</v>
      </c>
      <c r="AE704">
        <v>8730136.5700000003</v>
      </c>
      <c r="AF704">
        <v>19805</v>
      </c>
      <c r="AG704" t="s">
        <v>105</v>
      </c>
      <c r="AH704" t="s">
        <v>106</v>
      </c>
      <c r="AI704" t="s">
        <v>105</v>
      </c>
      <c r="AJ704" t="s">
        <v>106</v>
      </c>
      <c r="AK704" t="s">
        <v>148</v>
      </c>
      <c r="AL704" t="s">
        <v>44</v>
      </c>
      <c r="AM704">
        <v>3</v>
      </c>
      <c r="AN704">
        <v>3</v>
      </c>
      <c r="AO704">
        <v>2024</v>
      </c>
      <c r="AP704">
        <v>2</v>
      </c>
    </row>
    <row r="705" spans="1:42" x14ac:dyDescent="0.25">
      <c r="A705">
        <v>5279</v>
      </c>
      <c r="B705">
        <v>300822</v>
      </c>
      <c r="C705">
        <v>35658</v>
      </c>
      <c r="D705">
        <v>68308</v>
      </c>
      <c r="E705">
        <v>165526</v>
      </c>
      <c r="F705">
        <v>575593</v>
      </c>
      <c r="G705">
        <v>56305</v>
      </c>
      <c r="H705">
        <v>158001</v>
      </c>
      <c r="I705">
        <v>32782</v>
      </c>
      <c r="J705">
        <v>247088</v>
      </c>
      <c r="K705">
        <v>822682</v>
      </c>
      <c r="L705">
        <v>480236</v>
      </c>
      <c r="M705">
        <v>13616</v>
      </c>
      <c r="N705">
        <v>53667</v>
      </c>
      <c r="O705">
        <v>44267</v>
      </c>
      <c r="P705">
        <v>591786</v>
      </c>
      <c r="Q705">
        <v>18814</v>
      </c>
      <c r="R705">
        <v>6487</v>
      </c>
      <c r="S705">
        <v>3890</v>
      </c>
      <c r="T705">
        <v>99210</v>
      </c>
      <c r="U705">
        <v>6076</v>
      </c>
      <c r="V705">
        <v>0</v>
      </c>
      <c r="W705">
        <v>196569</v>
      </c>
      <c r="X705">
        <v>331046</v>
      </c>
      <c r="Y705">
        <v>45557</v>
      </c>
      <c r="Z705">
        <v>122826</v>
      </c>
      <c r="AA705">
        <v>111291</v>
      </c>
      <c r="AB705">
        <v>0</v>
      </c>
      <c r="AC705">
        <v>18093</v>
      </c>
      <c r="AD705">
        <v>419926</v>
      </c>
      <c r="AE705">
        <v>2463206</v>
      </c>
      <c r="AF705">
        <v>19930</v>
      </c>
      <c r="AG705" t="s">
        <v>107</v>
      </c>
      <c r="AH705" t="s">
        <v>108</v>
      </c>
      <c r="AI705" t="s">
        <v>107</v>
      </c>
      <c r="AJ705" t="s">
        <v>108</v>
      </c>
      <c r="AK705">
        <v>6031</v>
      </c>
      <c r="AL705" t="s">
        <v>44</v>
      </c>
      <c r="AM705">
        <v>3</v>
      </c>
      <c r="AN705">
        <v>3</v>
      </c>
      <c r="AO705">
        <v>2024</v>
      </c>
      <c r="AP705">
        <v>3</v>
      </c>
    </row>
    <row r="706" spans="1:42" x14ac:dyDescent="0.25">
      <c r="A706">
        <v>5415.23</v>
      </c>
      <c r="B706">
        <v>8121.65</v>
      </c>
      <c r="C706">
        <v>2895.26</v>
      </c>
      <c r="D706">
        <v>0</v>
      </c>
      <c r="E706">
        <v>0</v>
      </c>
      <c r="F706">
        <v>16432.13</v>
      </c>
      <c r="G706">
        <v>342.73</v>
      </c>
      <c r="H706">
        <v>932.85</v>
      </c>
      <c r="I706">
        <v>1149.8800000000001</v>
      </c>
      <c r="J706">
        <v>2425.46</v>
      </c>
      <c r="K706">
        <v>18857.59</v>
      </c>
      <c r="L706">
        <v>8199.27</v>
      </c>
      <c r="M706">
        <v>2932.76</v>
      </c>
      <c r="N706">
        <v>375.75</v>
      </c>
      <c r="O706">
        <v>0</v>
      </c>
      <c r="P706">
        <v>11507.78</v>
      </c>
      <c r="Q706">
        <v>101.7</v>
      </c>
      <c r="R706">
        <v>0</v>
      </c>
      <c r="S706">
        <v>1633.42</v>
      </c>
      <c r="T706">
        <v>0</v>
      </c>
      <c r="U706">
        <v>0</v>
      </c>
      <c r="V706">
        <v>0</v>
      </c>
      <c r="W706">
        <v>1120.83</v>
      </c>
      <c r="X706">
        <v>2855.96</v>
      </c>
      <c r="Y706">
        <v>744.29</v>
      </c>
      <c r="Z706">
        <v>13125.46</v>
      </c>
      <c r="AA706">
        <v>505.29</v>
      </c>
      <c r="AB706">
        <v>469.69</v>
      </c>
      <c r="AC706">
        <v>5486.61</v>
      </c>
      <c r="AD706">
        <v>4901</v>
      </c>
      <c r="AE706">
        <v>58453.65</v>
      </c>
      <c r="AF706">
        <v>22085</v>
      </c>
      <c r="AG706" t="s">
        <v>146</v>
      </c>
      <c r="AH706" t="s">
        <v>147</v>
      </c>
      <c r="AI706" t="s">
        <v>146</v>
      </c>
      <c r="AJ706" t="s">
        <v>147</v>
      </c>
      <c r="AK706">
        <v>1227</v>
      </c>
      <c r="AL706" t="s">
        <v>115</v>
      </c>
      <c r="AM706">
        <v>2</v>
      </c>
      <c r="AN706">
        <v>2</v>
      </c>
      <c r="AO706">
        <v>2024</v>
      </c>
      <c r="AP706">
        <v>1</v>
      </c>
    </row>
    <row r="707" spans="1:42" x14ac:dyDescent="0.25">
      <c r="A707">
        <v>5417.14</v>
      </c>
      <c r="B707">
        <v>2333.11</v>
      </c>
      <c r="C707">
        <v>3438.11</v>
      </c>
      <c r="D707">
        <v>9045</v>
      </c>
      <c r="E707">
        <v>307.70999999999998</v>
      </c>
      <c r="F707">
        <v>20541.07</v>
      </c>
      <c r="G707">
        <v>1421.18</v>
      </c>
      <c r="H707">
        <v>1664.06</v>
      </c>
      <c r="I707">
        <v>1405.6</v>
      </c>
      <c r="J707">
        <v>4490.84</v>
      </c>
      <c r="K707">
        <v>25031.9</v>
      </c>
      <c r="L707">
        <v>23405.83</v>
      </c>
      <c r="M707">
        <v>6875.39</v>
      </c>
      <c r="N707">
        <v>108.69</v>
      </c>
      <c r="O707">
        <v>690.6</v>
      </c>
      <c r="P707">
        <v>31080.5</v>
      </c>
      <c r="Q707">
        <v>1617.61</v>
      </c>
      <c r="R707">
        <v>19.3</v>
      </c>
      <c r="S707">
        <v>1458.68</v>
      </c>
      <c r="T707">
        <v>159.83000000000001</v>
      </c>
      <c r="U707">
        <v>0</v>
      </c>
      <c r="V707">
        <v>0</v>
      </c>
      <c r="W707">
        <v>9511.11</v>
      </c>
      <c r="X707">
        <v>12766.54</v>
      </c>
      <c r="Y707">
        <v>3035.88</v>
      </c>
      <c r="Z707">
        <v>8913.82</v>
      </c>
      <c r="AA707">
        <v>590.63</v>
      </c>
      <c r="AB707">
        <v>1417.22</v>
      </c>
      <c r="AC707">
        <v>0</v>
      </c>
      <c r="AD707">
        <v>93.35</v>
      </c>
      <c r="AE707">
        <v>82929.83</v>
      </c>
      <c r="AF707">
        <v>20207</v>
      </c>
      <c r="AG707" t="s">
        <v>149</v>
      </c>
      <c r="AH707" t="s">
        <v>150</v>
      </c>
      <c r="AI707" t="s">
        <v>149</v>
      </c>
      <c r="AJ707" t="s">
        <v>150</v>
      </c>
      <c r="AK707">
        <v>6144</v>
      </c>
      <c r="AL707" t="s">
        <v>44</v>
      </c>
      <c r="AM707">
        <v>2</v>
      </c>
      <c r="AN707">
        <v>2</v>
      </c>
      <c r="AO707">
        <v>2024</v>
      </c>
      <c r="AP707">
        <v>4</v>
      </c>
    </row>
    <row r="708" spans="1:42" x14ac:dyDescent="0.25">
      <c r="A708">
        <v>5527.07</v>
      </c>
      <c r="B708">
        <v>211252.85</v>
      </c>
      <c r="C708">
        <v>12713.1</v>
      </c>
      <c r="D708">
        <v>38159.660000000003</v>
      </c>
      <c r="E708">
        <v>97085.11</v>
      </c>
      <c r="F708">
        <v>364737.79</v>
      </c>
      <c r="G708">
        <v>35755.660000000003</v>
      </c>
      <c r="H708">
        <v>78739.259999999995</v>
      </c>
      <c r="I708">
        <v>15526.26</v>
      </c>
      <c r="J708">
        <v>130021.18</v>
      </c>
      <c r="K708">
        <v>494758.97</v>
      </c>
      <c r="L708">
        <v>380539.83</v>
      </c>
      <c r="M708">
        <v>11365.58</v>
      </c>
      <c r="N708">
        <v>59698.18</v>
      </c>
      <c r="O708">
        <v>8169.12</v>
      </c>
      <c r="P708">
        <v>459772.71</v>
      </c>
      <c r="Q708">
        <v>7346.83</v>
      </c>
      <c r="R708">
        <v>13579.73</v>
      </c>
      <c r="S708">
        <v>3865.31</v>
      </c>
      <c r="T708">
        <v>55264.37</v>
      </c>
      <c r="U708">
        <v>13414.04</v>
      </c>
      <c r="V708">
        <v>1689.29</v>
      </c>
      <c r="W708">
        <v>149959.93</v>
      </c>
      <c r="X708">
        <v>245119.51</v>
      </c>
      <c r="Y708">
        <v>19465.990000000002</v>
      </c>
      <c r="Z708">
        <v>26756.959999999999</v>
      </c>
      <c r="AA708">
        <v>78216.84</v>
      </c>
      <c r="AB708">
        <v>3827.06</v>
      </c>
      <c r="AC708">
        <v>13574.36</v>
      </c>
      <c r="AD708">
        <v>24319.17</v>
      </c>
      <c r="AE708">
        <v>1365811.56</v>
      </c>
      <c r="AF708">
        <v>19977</v>
      </c>
      <c r="AG708" t="s">
        <v>142</v>
      </c>
      <c r="AH708" t="s">
        <v>143</v>
      </c>
      <c r="AI708" t="s">
        <v>142</v>
      </c>
      <c r="AJ708" t="s">
        <v>143</v>
      </c>
      <c r="AK708">
        <v>10877</v>
      </c>
      <c r="AL708" t="s">
        <v>64</v>
      </c>
      <c r="AM708">
        <v>3</v>
      </c>
      <c r="AN708">
        <v>3</v>
      </c>
      <c r="AO708">
        <v>2024</v>
      </c>
      <c r="AP708">
        <v>3</v>
      </c>
    </row>
    <row r="709" spans="1:42" x14ac:dyDescent="0.25">
      <c r="A709">
        <v>5563.17</v>
      </c>
      <c r="B709">
        <v>1058035.6200000001</v>
      </c>
      <c r="C709">
        <v>295180.07</v>
      </c>
      <c r="D709">
        <v>299414.8</v>
      </c>
      <c r="E709">
        <v>314683.88</v>
      </c>
      <c r="F709">
        <v>1972877.53</v>
      </c>
      <c r="G709">
        <v>160382.07999999999</v>
      </c>
      <c r="H709">
        <v>539062.65</v>
      </c>
      <c r="I709">
        <v>117941.33</v>
      </c>
      <c r="J709">
        <v>817386.05</v>
      </c>
      <c r="K709">
        <v>2790263.59</v>
      </c>
      <c r="L709">
        <v>1267296.94</v>
      </c>
      <c r="M709">
        <v>228991.23</v>
      </c>
      <c r="N709">
        <v>193030.28</v>
      </c>
      <c r="O709">
        <v>23679.759999999998</v>
      </c>
      <c r="P709">
        <v>1712998.21</v>
      </c>
      <c r="Q709">
        <v>27876.59</v>
      </c>
      <c r="R709">
        <v>75401.55</v>
      </c>
      <c r="S709">
        <v>17956.189999999999</v>
      </c>
      <c r="T709">
        <v>393338.98</v>
      </c>
      <c r="U709">
        <v>50952.69</v>
      </c>
      <c r="V709">
        <v>0</v>
      </c>
      <c r="W709">
        <v>706946.46</v>
      </c>
      <c r="X709">
        <v>1272472.47</v>
      </c>
      <c r="Y709">
        <v>171135.58</v>
      </c>
      <c r="Z709">
        <v>526227.15</v>
      </c>
      <c r="AA709">
        <v>302672.07</v>
      </c>
      <c r="AB709">
        <v>19771.7</v>
      </c>
      <c r="AC709">
        <v>38074.11</v>
      </c>
      <c r="AD709">
        <v>1788982.1</v>
      </c>
      <c r="AE709">
        <v>8622596.9800000004</v>
      </c>
      <c r="AF709">
        <v>19805</v>
      </c>
      <c r="AG709" t="s">
        <v>105</v>
      </c>
      <c r="AH709" t="s">
        <v>106</v>
      </c>
      <c r="AI709" t="s">
        <v>105</v>
      </c>
      <c r="AJ709" t="s">
        <v>106</v>
      </c>
      <c r="AK709" t="s">
        <v>148</v>
      </c>
      <c r="AL709" t="s">
        <v>44</v>
      </c>
      <c r="AM709">
        <v>3</v>
      </c>
      <c r="AN709">
        <v>3</v>
      </c>
      <c r="AO709">
        <v>2024</v>
      </c>
      <c r="AP709">
        <v>4</v>
      </c>
    </row>
    <row r="710" spans="1:42" x14ac:dyDescent="0.25">
      <c r="A710">
        <v>5845</v>
      </c>
      <c r="B710">
        <v>279025</v>
      </c>
      <c r="C710">
        <v>32344</v>
      </c>
      <c r="D710">
        <v>62202</v>
      </c>
      <c r="E710">
        <v>115414</v>
      </c>
      <c r="F710">
        <v>494830</v>
      </c>
      <c r="G710">
        <v>56792</v>
      </c>
      <c r="H710">
        <v>130158</v>
      </c>
      <c r="I710">
        <v>34178</v>
      </c>
      <c r="J710">
        <v>221128</v>
      </c>
      <c r="K710">
        <v>715958</v>
      </c>
      <c r="L710">
        <v>477860</v>
      </c>
      <c r="M710">
        <v>16216</v>
      </c>
      <c r="N710">
        <v>53142</v>
      </c>
      <c r="O710">
        <v>42318</v>
      </c>
      <c r="P710">
        <v>589537</v>
      </c>
      <c r="Q710">
        <v>20088</v>
      </c>
      <c r="R710">
        <v>6187</v>
      </c>
      <c r="S710">
        <v>3828</v>
      </c>
      <c r="T710">
        <v>89614</v>
      </c>
      <c r="U710">
        <v>6111</v>
      </c>
      <c r="V710">
        <v>0</v>
      </c>
      <c r="W710">
        <v>185105</v>
      </c>
      <c r="X710">
        <v>310933</v>
      </c>
      <c r="Y710">
        <v>40394</v>
      </c>
      <c r="Z710">
        <v>106949</v>
      </c>
      <c r="AA710">
        <v>105336</v>
      </c>
      <c r="AB710">
        <v>0</v>
      </c>
      <c r="AC710">
        <v>129685</v>
      </c>
      <c r="AD710">
        <v>422353</v>
      </c>
      <c r="AE710">
        <v>2421144</v>
      </c>
      <c r="AF710">
        <v>19930</v>
      </c>
      <c r="AG710" t="s">
        <v>107</v>
      </c>
      <c r="AH710" t="s">
        <v>108</v>
      </c>
      <c r="AI710" t="s">
        <v>107</v>
      </c>
      <c r="AJ710" t="s">
        <v>108</v>
      </c>
      <c r="AK710">
        <v>6031</v>
      </c>
      <c r="AL710" t="s">
        <v>44</v>
      </c>
      <c r="AM710">
        <v>3</v>
      </c>
      <c r="AN710">
        <v>3</v>
      </c>
      <c r="AO710">
        <v>2024</v>
      </c>
      <c r="AP710">
        <v>2</v>
      </c>
    </row>
    <row r="711" spans="1:42" x14ac:dyDescent="0.25">
      <c r="A711">
        <v>5968.83</v>
      </c>
      <c r="B711">
        <v>32288.79</v>
      </c>
      <c r="C711">
        <v>7182.13</v>
      </c>
      <c r="D711">
        <v>11873.67</v>
      </c>
      <c r="E711">
        <v>4206.3599999999997</v>
      </c>
      <c r="F711">
        <v>61519.78</v>
      </c>
      <c r="G711">
        <v>7681.79</v>
      </c>
      <c r="H711">
        <v>13300.84</v>
      </c>
      <c r="I711">
        <v>3491.83</v>
      </c>
      <c r="J711">
        <v>24474.46</v>
      </c>
      <c r="K711">
        <v>85994.240000000005</v>
      </c>
      <c r="L711">
        <v>47065.56</v>
      </c>
      <c r="M711">
        <v>5092.33</v>
      </c>
      <c r="N711">
        <v>2801.37</v>
      </c>
      <c r="O711">
        <v>1726.9</v>
      </c>
      <c r="P711">
        <v>56686.17</v>
      </c>
      <c r="Q711">
        <v>1186.3399999999999</v>
      </c>
      <c r="R711">
        <v>691.32</v>
      </c>
      <c r="S711">
        <v>1820.32</v>
      </c>
      <c r="T711">
        <v>7579.14</v>
      </c>
      <c r="U711">
        <v>711.08</v>
      </c>
      <c r="V711">
        <v>0</v>
      </c>
      <c r="W711">
        <v>28001.42</v>
      </c>
      <c r="X711">
        <v>39989.620000000003</v>
      </c>
      <c r="Y711">
        <v>5407.87</v>
      </c>
      <c r="Z711">
        <v>11201.56</v>
      </c>
      <c r="AA711">
        <v>15033.48</v>
      </c>
      <c r="AB711">
        <v>5484.82</v>
      </c>
      <c r="AC711">
        <v>-1475.99</v>
      </c>
      <c r="AD711">
        <v>51.74</v>
      </c>
      <c r="AE711">
        <v>218373.49</v>
      </c>
      <c r="AF711">
        <v>20422</v>
      </c>
      <c r="AG711" t="s">
        <v>93</v>
      </c>
      <c r="AH711" t="s">
        <v>94</v>
      </c>
      <c r="AI711" t="s">
        <v>93</v>
      </c>
      <c r="AJ711" t="s">
        <v>94</v>
      </c>
      <c r="AK711">
        <v>6795</v>
      </c>
      <c r="AL711" t="s">
        <v>44</v>
      </c>
      <c r="AM711">
        <v>3</v>
      </c>
      <c r="AN711">
        <v>3</v>
      </c>
      <c r="AO711">
        <v>2024</v>
      </c>
      <c r="AP711">
        <v>4</v>
      </c>
    </row>
    <row r="712" spans="1:42" x14ac:dyDescent="0.25">
      <c r="A712">
        <v>5971.8</v>
      </c>
      <c r="B712">
        <v>59273.74</v>
      </c>
      <c r="C712">
        <v>1997.79</v>
      </c>
      <c r="D712">
        <v>2553.69</v>
      </c>
      <c r="E712">
        <v>9577.44</v>
      </c>
      <c r="F712">
        <v>79374.47</v>
      </c>
      <c r="G712">
        <v>25452.33</v>
      </c>
      <c r="H712">
        <v>13491.32</v>
      </c>
      <c r="I712">
        <v>2834.91</v>
      </c>
      <c r="J712">
        <v>41778.559999999998</v>
      </c>
      <c r="K712">
        <v>121153.02</v>
      </c>
      <c r="L712">
        <v>88809.83</v>
      </c>
      <c r="M712">
        <v>13206.97</v>
      </c>
      <c r="N712">
        <v>189.28</v>
      </c>
      <c r="O712">
        <v>2931.37</v>
      </c>
      <c r="P712">
        <v>105137.44</v>
      </c>
      <c r="Q712">
        <v>302.62</v>
      </c>
      <c r="R712">
        <v>10787.43</v>
      </c>
      <c r="S712">
        <v>1488.12</v>
      </c>
      <c r="T712">
        <v>18260.89</v>
      </c>
      <c r="U712">
        <v>1369.07</v>
      </c>
      <c r="V712">
        <v>1359.45</v>
      </c>
      <c r="W712">
        <v>23261.4</v>
      </c>
      <c r="X712">
        <v>56828.98</v>
      </c>
      <c r="Y712">
        <v>9208.9599999999991</v>
      </c>
      <c r="Z712">
        <v>14138.47</v>
      </c>
      <c r="AA712">
        <v>25533.53</v>
      </c>
      <c r="AB712">
        <v>0</v>
      </c>
      <c r="AC712">
        <v>4170.84</v>
      </c>
      <c r="AD712">
        <v>155.80000000000001</v>
      </c>
      <c r="AE712">
        <v>336327.05</v>
      </c>
      <c r="AF712">
        <v>20007</v>
      </c>
      <c r="AG712" t="s">
        <v>140</v>
      </c>
      <c r="AH712" t="s">
        <v>141</v>
      </c>
      <c r="AI712" t="s">
        <v>140</v>
      </c>
      <c r="AJ712" t="s">
        <v>141</v>
      </c>
      <c r="AK712">
        <v>6087</v>
      </c>
      <c r="AL712" t="s">
        <v>44</v>
      </c>
      <c r="AM712">
        <v>3</v>
      </c>
      <c r="AN712">
        <v>3</v>
      </c>
      <c r="AO712">
        <v>2024</v>
      </c>
      <c r="AP712">
        <v>4</v>
      </c>
    </row>
    <row r="713" spans="1:42" x14ac:dyDescent="0.25">
      <c r="A713">
        <v>6284</v>
      </c>
      <c r="B713">
        <v>281563</v>
      </c>
      <c r="C713">
        <v>38714</v>
      </c>
      <c r="D713">
        <v>98556</v>
      </c>
      <c r="E713">
        <v>156211</v>
      </c>
      <c r="F713">
        <v>581328</v>
      </c>
      <c r="G713">
        <v>39483</v>
      </c>
      <c r="H713">
        <v>134002</v>
      </c>
      <c r="I713">
        <v>30688</v>
      </c>
      <c r="J713">
        <v>204173</v>
      </c>
      <c r="K713">
        <v>785501</v>
      </c>
      <c r="L713">
        <v>454815</v>
      </c>
      <c r="M713">
        <v>35705</v>
      </c>
      <c r="N713">
        <v>66143</v>
      </c>
      <c r="O713">
        <v>18469</v>
      </c>
      <c r="P713">
        <v>575132</v>
      </c>
      <c r="Q713">
        <v>17556</v>
      </c>
      <c r="R713">
        <v>15692</v>
      </c>
      <c r="S713">
        <v>3555</v>
      </c>
      <c r="T713">
        <v>56233</v>
      </c>
      <c r="U713">
        <v>21295</v>
      </c>
      <c r="V713">
        <v>721</v>
      </c>
      <c r="W713">
        <v>225957</v>
      </c>
      <c r="X713">
        <v>341009</v>
      </c>
      <c r="Y713">
        <v>43948</v>
      </c>
      <c r="Z713">
        <v>106469</v>
      </c>
      <c r="AA713">
        <v>72045</v>
      </c>
      <c r="AB713">
        <v>13006</v>
      </c>
      <c r="AC713">
        <v>26692</v>
      </c>
      <c r="AD713">
        <v>31121</v>
      </c>
      <c r="AE713">
        <v>1994923</v>
      </c>
      <c r="AF713">
        <v>19790</v>
      </c>
      <c r="AG713" t="s">
        <v>134</v>
      </c>
      <c r="AH713" t="s">
        <v>135</v>
      </c>
      <c r="AI713" t="s">
        <v>134</v>
      </c>
      <c r="AJ713" t="s">
        <v>135</v>
      </c>
      <c r="AK713">
        <v>10261</v>
      </c>
      <c r="AL713" t="s">
        <v>53</v>
      </c>
      <c r="AM713">
        <v>3</v>
      </c>
      <c r="AN713">
        <v>3</v>
      </c>
      <c r="AO713">
        <v>2024</v>
      </c>
      <c r="AP713">
        <v>4</v>
      </c>
    </row>
    <row r="714" spans="1:42" x14ac:dyDescent="0.25">
      <c r="A714">
        <v>6472.39</v>
      </c>
      <c r="B714">
        <v>97311.3</v>
      </c>
      <c r="C714">
        <v>20256.25</v>
      </c>
      <c r="D714">
        <v>3623.06</v>
      </c>
      <c r="E714">
        <v>433.6</v>
      </c>
      <c r="F714">
        <v>128096.6</v>
      </c>
      <c r="G714">
        <v>25110.77</v>
      </c>
      <c r="H714">
        <v>35207.19</v>
      </c>
      <c r="I714">
        <v>8617.9500000000007</v>
      </c>
      <c r="J714">
        <v>68935.92</v>
      </c>
      <c r="K714">
        <v>197032.52</v>
      </c>
      <c r="L714">
        <v>185.75</v>
      </c>
      <c r="M714">
        <v>24189.53</v>
      </c>
      <c r="N714">
        <v>0</v>
      </c>
      <c r="O714">
        <v>444.92</v>
      </c>
      <c r="P714">
        <v>24820.19</v>
      </c>
      <c r="Q714">
        <v>1944.55</v>
      </c>
      <c r="R714">
        <v>339.54</v>
      </c>
      <c r="S714">
        <v>3573.42</v>
      </c>
      <c r="T714">
        <v>58649.31</v>
      </c>
      <c r="U714">
        <v>0</v>
      </c>
      <c r="V714">
        <v>0</v>
      </c>
      <c r="W714">
        <v>12588.57</v>
      </c>
      <c r="X714">
        <v>77095.39</v>
      </c>
      <c r="Y714">
        <v>0</v>
      </c>
      <c r="Z714">
        <v>3166.88</v>
      </c>
      <c r="AA714">
        <v>28188.92</v>
      </c>
      <c r="AB714">
        <v>312.13</v>
      </c>
      <c r="AC714">
        <v>7398</v>
      </c>
      <c r="AD714">
        <v>0</v>
      </c>
      <c r="AE714">
        <v>338014.03</v>
      </c>
      <c r="AF714">
        <v>20452</v>
      </c>
      <c r="AG714" t="s">
        <v>54</v>
      </c>
      <c r="AH714" t="s">
        <v>55</v>
      </c>
      <c r="AI714" t="s">
        <v>54</v>
      </c>
      <c r="AJ714" t="s">
        <v>55</v>
      </c>
      <c r="AK714">
        <v>6003</v>
      </c>
      <c r="AL714" t="s">
        <v>44</v>
      </c>
      <c r="AM714">
        <v>3</v>
      </c>
      <c r="AN714">
        <v>3</v>
      </c>
      <c r="AO714">
        <v>2024</v>
      </c>
      <c r="AP714">
        <v>3</v>
      </c>
    </row>
    <row r="715" spans="1:42" x14ac:dyDescent="0.25">
      <c r="A715">
        <v>6476.48</v>
      </c>
      <c r="B715">
        <v>91595.6</v>
      </c>
      <c r="C715">
        <v>19900.240000000002</v>
      </c>
      <c r="D715">
        <v>3435.49</v>
      </c>
      <c r="E715">
        <v>493.02</v>
      </c>
      <c r="F715">
        <v>121900.83</v>
      </c>
      <c r="G715">
        <v>22692.7</v>
      </c>
      <c r="H715">
        <v>30218.79</v>
      </c>
      <c r="I715">
        <v>6787.41</v>
      </c>
      <c r="J715">
        <v>59698.91</v>
      </c>
      <c r="K715">
        <v>181599.74</v>
      </c>
      <c r="L715">
        <v>129.51</v>
      </c>
      <c r="M715">
        <v>24176.799999999999</v>
      </c>
      <c r="N715">
        <v>0</v>
      </c>
      <c r="O715">
        <v>372.18</v>
      </c>
      <c r="P715">
        <v>24678.48</v>
      </c>
      <c r="Q715">
        <v>2871.81</v>
      </c>
      <c r="R715">
        <v>369.62</v>
      </c>
      <c r="S715">
        <v>3193.77</v>
      </c>
      <c r="T715">
        <v>50981.02</v>
      </c>
      <c r="U715">
        <v>0</v>
      </c>
      <c r="V715">
        <v>0</v>
      </c>
      <c r="W715">
        <v>15281.32</v>
      </c>
      <c r="X715">
        <v>72697.539999999994</v>
      </c>
      <c r="Y715">
        <v>0</v>
      </c>
      <c r="Z715">
        <v>3120.77</v>
      </c>
      <c r="AA715">
        <v>27486.1</v>
      </c>
      <c r="AB715">
        <v>312.13</v>
      </c>
      <c r="AC715">
        <v>7231.78</v>
      </c>
      <c r="AD715">
        <v>0</v>
      </c>
      <c r="AE715">
        <v>317126.53999999998</v>
      </c>
      <c r="AF715">
        <v>20452</v>
      </c>
      <c r="AG715" t="s">
        <v>54</v>
      </c>
      <c r="AH715" t="s">
        <v>55</v>
      </c>
      <c r="AI715" t="s">
        <v>54</v>
      </c>
      <c r="AJ715" t="s">
        <v>55</v>
      </c>
      <c r="AK715">
        <v>6003</v>
      </c>
      <c r="AL715" t="s">
        <v>44</v>
      </c>
      <c r="AM715">
        <v>3</v>
      </c>
      <c r="AN715">
        <v>3</v>
      </c>
      <c r="AO715">
        <v>2024</v>
      </c>
      <c r="AP715">
        <v>2</v>
      </c>
    </row>
    <row r="716" spans="1:42" x14ac:dyDescent="0.25">
      <c r="A716">
        <v>6532.66</v>
      </c>
      <c r="B716">
        <v>45338.55</v>
      </c>
      <c r="C716">
        <v>36917.449999999997</v>
      </c>
      <c r="D716">
        <v>7045.52</v>
      </c>
      <c r="F716">
        <v>95834.18</v>
      </c>
      <c r="G716">
        <v>24881.68</v>
      </c>
      <c r="H716">
        <v>15939.2</v>
      </c>
      <c r="I716">
        <v>5512.51</v>
      </c>
      <c r="J716">
        <v>46333.39</v>
      </c>
      <c r="K716">
        <v>142167.57</v>
      </c>
      <c r="L716">
        <v>116513.4</v>
      </c>
      <c r="M716">
        <v>21004.63</v>
      </c>
      <c r="O716">
        <v>157.28</v>
      </c>
      <c r="P716">
        <v>137675.31</v>
      </c>
      <c r="Q716">
        <v>2271.29</v>
      </c>
      <c r="R716">
        <v>1363.67</v>
      </c>
      <c r="S716">
        <v>1245.08</v>
      </c>
      <c r="T716">
        <v>43341.35</v>
      </c>
      <c r="V716">
        <v>8027.66</v>
      </c>
      <c r="W716">
        <v>33408.980000000003</v>
      </c>
      <c r="X716">
        <v>89658.03</v>
      </c>
      <c r="Y716">
        <v>5245.81</v>
      </c>
      <c r="Z716">
        <v>4767.33</v>
      </c>
      <c r="AA716">
        <v>20746.23</v>
      </c>
      <c r="AD716">
        <v>64191.72</v>
      </c>
      <c r="AE716">
        <v>464452</v>
      </c>
      <c r="AF716">
        <v>20370</v>
      </c>
      <c r="AG716" t="s">
        <v>81</v>
      </c>
      <c r="AH716" t="s">
        <v>82</v>
      </c>
      <c r="AI716" t="s">
        <v>81</v>
      </c>
      <c r="AJ716" t="s">
        <v>82</v>
      </c>
      <c r="AK716">
        <v>16683</v>
      </c>
      <c r="AL716" t="s">
        <v>47</v>
      </c>
      <c r="AM716">
        <v>3</v>
      </c>
      <c r="AN716">
        <v>3</v>
      </c>
      <c r="AO716">
        <v>2024</v>
      </c>
      <c r="AP716">
        <v>3</v>
      </c>
    </row>
    <row r="717" spans="1:42" x14ac:dyDescent="0.25">
      <c r="A717">
        <v>6564.56</v>
      </c>
      <c r="B717">
        <v>99160.42</v>
      </c>
      <c r="C717">
        <v>21077.99</v>
      </c>
      <c r="D717">
        <v>3859.9</v>
      </c>
      <c r="E717">
        <v>624.79999999999995</v>
      </c>
      <c r="F717">
        <v>131287.67000000001</v>
      </c>
      <c r="G717">
        <v>24826.89</v>
      </c>
      <c r="H717">
        <v>33570.239999999998</v>
      </c>
      <c r="I717">
        <v>7968.95</v>
      </c>
      <c r="J717">
        <v>66366.09</v>
      </c>
      <c r="K717">
        <v>197653.76000000001</v>
      </c>
      <c r="L717">
        <v>486.94</v>
      </c>
      <c r="M717">
        <v>25889.279999999999</v>
      </c>
      <c r="N717">
        <v>0</v>
      </c>
      <c r="O717">
        <v>327.86</v>
      </c>
      <c r="P717">
        <v>26704.080000000002</v>
      </c>
      <c r="Q717">
        <v>1386.57</v>
      </c>
      <c r="R717">
        <v>337.13</v>
      </c>
      <c r="S717">
        <v>3540.96</v>
      </c>
      <c r="T717">
        <v>52758.37</v>
      </c>
      <c r="U717">
        <v>0</v>
      </c>
      <c r="V717">
        <v>0</v>
      </c>
      <c r="W717">
        <v>13235.48</v>
      </c>
      <c r="X717">
        <v>71258.5</v>
      </c>
      <c r="Y717">
        <v>0</v>
      </c>
      <c r="Z717">
        <v>3123.49</v>
      </c>
      <c r="AA717">
        <v>28463.119999999999</v>
      </c>
      <c r="AB717">
        <v>312.13</v>
      </c>
      <c r="AC717">
        <v>13552.04</v>
      </c>
      <c r="AD717">
        <v>0</v>
      </c>
      <c r="AE717">
        <v>341067.12</v>
      </c>
      <c r="AF717">
        <v>20452</v>
      </c>
      <c r="AG717" t="s">
        <v>54</v>
      </c>
      <c r="AH717" t="s">
        <v>55</v>
      </c>
      <c r="AI717" t="s">
        <v>54</v>
      </c>
      <c r="AJ717" t="s">
        <v>55</v>
      </c>
      <c r="AK717">
        <v>6003</v>
      </c>
      <c r="AL717" t="s">
        <v>44</v>
      </c>
      <c r="AM717">
        <v>3</v>
      </c>
      <c r="AN717">
        <v>3</v>
      </c>
      <c r="AO717">
        <v>2024</v>
      </c>
      <c r="AP717">
        <v>4</v>
      </c>
    </row>
    <row r="718" spans="1:42" x14ac:dyDescent="0.25">
      <c r="A718">
        <v>6666.92</v>
      </c>
      <c r="B718">
        <v>244332.21</v>
      </c>
      <c r="C718">
        <v>16331.46</v>
      </c>
      <c r="D718">
        <v>41801.550000000003</v>
      </c>
      <c r="E718">
        <v>118149.74</v>
      </c>
      <c r="F718">
        <v>427281.89</v>
      </c>
      <c r="G718">
        <v>37700.5</v>
      </c>
      <c r="H718">
        <v>88825.24</v>
      </c>
      <c r="I718">
        <v>16311.48</v>
      </c>
      <c r="J718">
        <v>142837.22</v>
      </c>
      <c r="K718">
        <v>570119.11</v>
      </c>
      <c r="L718">
        <v>394252.51</v>
      </c>
      <c r="M718">
        <v>17348.32</v>
      </c>
      <c r="N718">
        <v>62409.71</v>
      </c>
      <c r="O718">
        <v>9690.86</v>
      </c>
      <c r="P718">
        <v>483701.39</v>
      </c>
      <c r="Q718">
        <v>11477.76</v>
      </c>
      <c r="R718">
        <v>14713.37</v>
      </c>
      <c r="S718">
        <v>4180.09</v>
      </c>
      <c r="T718">
        <v>45924.68</v>
      </c>
      <c r="U718">
        <v>16370.03</v>
      </c>
      <c r="V718">
        <v>2492.9699999999998</v>
      </c>
      <c r="W718">
        <v>189163.6</v>
      </c>
      <c r="X718">
        <v>284322.5</v>
      </c>
      <c r="Y718">
        <v>20387.759999999998</v>
      </c>
      <c r="Z718">
        <v>29189.62</v>
      </c>
      <c r="AA718">
        <v>93174.46</v>
      </c>
      <c r="AB718">
        <v>2943.3</v>
      </c>
      <c r="AC718">
        <v>27655.47</v>
      </c>
      <c r="AD718">
        <v>27126.86</v>
      </c>
      <c r="AE718">
        <v>1538620.46</v>
      </c>
      <c r="AF718">
        <v>19977</v>
      </c>
      <c r="AG718" t="s">
        <v>142</v>
      </c>
      <c r="AH718" t="s">
        <v>143</v>
      </c>
      <c r="AI718" t="s">
        <v>142</v>
      </c>
      <c r="AJ718" t="s">
        <v>143</v>
      </c>
      <c r="AK718">
        <v>10877</v>
      </c>
      <c r="AL718" t="s">
        <v>64</v>
      </c>
      <c r="AM718">
        <v>3</v>
      </c>
      <c r="AN718">
        <v>3</v>
      </c>
      <c r="AO718">
        <v>2024</v>
      </c>
      <c r="AP718">
        <v>4</v>
      </c>
    </row>
    <row r="719" spans="1:42" x14ac:dyDescent="0.25">
      <c r="A719">
        <v>7016</v>
      </c>
      <c r="B719">
        <v>298274</v>
      </c>
      <c r="C719">
        <v>35692</v>
      </c>
      <c r="D719">
        <v>68258</v>
      </c>
      <c r="E719">
        <v>203986</v>
      </c>
      <c r="F719">
        <v>613226</v>
      </c>
      <c r="G719">
        <v>51759</v>
      </c>
      <c r="H719">
        <v>148069</v>
      </c>
      <c r="I719">
        <v>31397</v>
      </c>
      <c r="J719">
        <v>231225</v>
      </c>
      <c r="K719">
        <v>844451</v>
      </c>
      <c r="L719">
        <v>406204</v>
      </c>
      <c r="M719">
        <v>15192</v>
      </c>
      <c r="N719">
        <v>52946</v>
      </c>
      <c r="O719">
        <v>44978</v>
      </c>
      <c r="P719">
        <v>519320</v>
      </c>
      <c r="Q719">
        <v>20297</v>
      </c>
      <c r="R719">
        <v>6217</v>
      </c>
      <c r="S719">
        <v>3591</v>
      </c>
      <c r="T719">
        <v>111448</v>
      </c>
      <c r="U719">
        <v>4959</v>
      </c>
      <c r="V719">
        <v>0</v>
      </c>
      <c r="W719">
        <v>182243</v>
      </c>
      <c r="X719">
        <v>328755</v>
      </c>
      <c r="Y719">
        <v>39592</v>
      </c>
      <c r="Z719">
        <v>126709</v>
      </c>
      <c r="AA719">
        <v>109693</v>
      </c>
      <c r="AB719">
        <v>0</v>
      </c>
      <c r="AC719">
        <v>52110</v>
      </c>
      <c r="AD719">
        <v>418067</v>
      </c>
      <c r="AE719">
        <v>2438696</v>
      </c>
      <c r="AF719">
        <v>19930</v>
      </c>
      <c r="AG719" t="s">
        <v>107</v>
      </c>
      <c r="AH719" t="s">
        <v>108</v>
      </c>
      <c r="AI719" t="s">
        <v>107</v>
      </c>
      <c r="AJ719" t="s">
        <v>108</v>
      </c>
      <c r="AK719">
        <v>6031</v>
      </c>
      <c r="AL719" t="s">
        <v>44</v>
      </c>
      <c r="AM719">
        <v>3</v>
      </c>
      <c r="AN719">
        <v>3</v>
      </c>
      <c r="AO719">
        <v>2024</v>
      </c>
      <c r="AP719">
        <v>4</v>
      </c>
    </row>
    <row r="720" spans="1:42" x14ac:dyDescent="0.25">
      <c r="A720">
        <v>7206.15</v>
      </c>
      <c r="B720">
        <v>89996.38</v>
      </c>
      <c r="C720">
        <v>22908.13</v>
      </c>
      <c r="D720">
        <v>3823</v>
      </c>
      <c r="E720">
        <v>922.53</v>
      </c>
      <c r="F720">
        <v>124856.19</v>
      </c>
      <c r="G720">
        <v>20812.63</v>
      </c>
      <c r="H720">
        <v>18826.28</v>
      </c>
      <c r="I720">
        <v>10590.94</v>
      </c>
      <c r="J720">
        <v>50229.85</v>
      </c>
      <c r="K720">
        <v>175086.04</v>
      </c>
      <c r="L720">
        <v>248.19</v>
      </c>
      <c r="M720">
        <v>24404.84</v>
      </c>
      <c r="N720">
        <v>0</v>
      </c>
      <c r="O720">
        <v>337.26</v>
      </c>
      <c r="P720">
        <v>24990.3</v>
      </c>
      <c r="Q720">
        <v>2371.09</v>
      </c>
      <c r="R720">
        <v>376.28</v>
      </c>
      <c r="S720">
        <v>2338.98</v>
      </c>
      <c r="T720">
        <v>51023.49</v>
      </c>
      <c r="U720">
        <v>0</v>
      </c>
      <c r="V720">
        <v>0</v>
      </c>
      <c r="W720">
        <v>13736.69</v>
      </c>
      <c r="X720">
        <v>69846.53</v>
      </c>
      <c r="Y720">
        <v>0</v>
      </c>
      <c r="Z720">
        <v>3045.67</v>
      </c>
      <c r="AA720">
        <v>28312.7</v>
      </c>
      <c r="AB720">
        <v>312.13</v>
      </c>
      <c r="AC720">
        <v>7181.77</v>
      </c>
      <c r="AD720">
        <v>0</v>
      </c>
      <c r="AE720">
        <v>308775.14</v>
      </c>
      <c r="AF720">
        <v>20452</v>
      </c>
      <c r="AG720" t="s">
        <v>54</v>
      </c>
      <c r="AH720" t="s">
        <v>55</v>
      </c>
      <c r="AI720" t="s">
        <v>54</v>
      </c>
      <c r="AJ720" t="s">
        <v>55</v>
      </c>
      <c r="AK720">
        <v>6003</v>
      </c>
      <c r="AL720" t="s">
        <v>44</v>
      </c>
      <c r="AM720">
        <v>3</v>
      </c>
      <c r="AN720">
        <v>3</v>
      </c>
      <c r="AO720">
        <v>2024</v>
      </c>
      <c r="AP720">
        <v>1</v>
      </c>
    </row>
    <row r="721" spans="1:42" x14ac:dyDescent="0.25">
      <c r="A721">
        <v>7861.56</v>
      </c>
      <c r="B721">
        <v>76599.53</v>
      </c>
      <c r="C721">
        <v>23123.75</v>
      </c>
      <c r="D721">
        <v>0</v>
      </c>
      <c r="E721">
        <v>2670.87</v>
      </c>
      <c r="F721">
        <v>110255.7</v>
      </c>
      <c r="G721">
        <v>1580.07</v>
      </c>
      <c r="H721">
        <v>14620.71</v>
      </c>
      <c r="I721">
        <v>8423.9699999999993</v>
      </c>
      <c r="J721">
        <v>24624.76</v>
      </c>
      <c r="K721">
        <v>134880.46</v>
      </c>
      <c r="L721">
        <v>183.19</v>
      </c>
      <c r="M721">
        <v>7086.24</v>
      </c>
      <c r="N721">
        <v>0</v>
      </c>
      <c r="O721">
        <v>0</v>
      </c>
      <c r="P721">
        <v>7269.43</v>
      </c>
      <c r="Q721">
        <v>0</v>
      </c>
      <c r="R721">
        <v>687.93</v>
      </c>
      <c r="S721">
        <v>1078.72</v>
      </c>
      <c r="T721">
        <v>34254.11</v>
      </c>
      <c r="U721">
        <v>0</v>
      </c>
      <c r="V721">
        <v>0</v>
      </c>
      <c r="W721">
        <v>12405.25</v>
      </c>
      <c r="X721">
        <v>48426.01</v>
      </c>
      <c r="Y721">
        <v>0</v>
      </c>
      <c r="Z721">
        <v>3845.05</v>
      </c>
      <c r="AA721">
        <v>2040.66</v>
      </c>
      <c r="AB721">
        <v>298.91000000000003</v>
      </c>
      <c r="AC721">
        <v>23035.51</v>
      </c>
      <c r="AD721">
        <v>0</v>
      </c>
      <c r="AE721">
        <v>219796.03</v>
      </c>
      <c r="AF721">
        <v>20363</v>
      </c>
      <c r="AG721" t="s">
        <v>77</v>
      </c>
      <c r="AH721" t="s">
        <v>78</v>
      </c>
      <c r="AI721" t="s">
        <v>77</v>
      </c>
      <c r="AJ721" t="s">
        <v>78</v>
      </c>
      <c r="AK721">
        <v>7024</v>
      </c>
      <c r="AL721" t="s">
        <v>44</v>
      </c>
      <c r="AM721">
        <v>2</v>
      </c>
      <c r="AN721">
        <v>2</v>
      </c>
      <c r="AO721">
        <v>2024</v>
      </c>
      <c r="AP721">
        <v>2</v>
      </c>
    </row>
    <row r="722" spans="1:42" x14ac:dyDescent="0.25">
      <c r="A722">
        <v>7910</v>
      </c>
      <c r="B722">
        <v>342708</v>
      </c>
      <c r="C722">
        <v>43463</v>
      </c>
      <c r="D722">
        <v>120536</v>
      </c>
      <c r="E722">
        <v>231104</v>
      </c>
      <c r="F722">
        <v>745721</v>
      </c>
      <c r="G722">
        <v>53379</v>
      </c>
      <c r="H722">
        <v>153600</v>
      </c>
      <c r="I722">
        <v>37524</v>
      </c>
      <c r="J722">
        <v>244503</v>
      </c>
      <c r="K722">
        <v>990224</v>
      </c>
      <c r="L722">
        <v>639332</v>
      </c>
      <c r="M722">
        <v>49717</v>
      </c>
      <c r="N722">
        <v>87404</v>
      </c>
      <c r="O722">
        <v>20860</v>
      </c>
      <c r="P722">
        <v>797313</v>
      </c>
      <c r="Q722">
        <v>24204</v>
      </c>
      <c r="R722">
        <v>23240</v>
      </c>
      <c r="S722">
        <v>4691</v>
      </c>
      <c r="T722">
        <v>73093</v>
      </c>
      <c r="U722">
        <v>30344</v>
      </c>
      <c r="V722">
        <v>804</v>
      </c>
      <c r="W722">
        <v>283845</v>
      </c>
      <c r="X722">
        <v>440221</v>
      </c>
      <c r="Y722">
        <v>57342</v>
      </c>
      <c r="Z722">
        <v>128128</v>
      </c>
      <c r="AA722">
        <v>83483</v>
      </c>
      <c r="AB722">
        <v>18020</v>
      </c>
      <c r="AC722">
        <v>28338</v>
      </c>
      <c r="AD722">
        <v>42704</v>
      </c>
      <c r="AE722">
        <v>2585773</v>
      </c>
      <c r="AF722">
        <v>19790</v>
      </c>
      <c r="AG722" t="s">
        <v>134</v>
      </c>
      <c r="AH722" t="s">
        <v>135</v>
      </c>
      <c r="AI722" t="s">
        <v>134</v>
      </c>
      <c r="AJ722" t="s">
        <v>135</v>
      </c>
      <c r="AK722">
        <v>10261</v>
      </c>
      <c r="AL722" t="s">
        <v>53</v>
      </c>
      <c r="AM722">
        <v>3</v>
      </c>
      <c r="AN722">
        <v>3</v>
      </c>
      <c r="AO722">
        <v>2024</v>
      </c>
      <c r="AP722">
        <v>2</v>
      </c>
    </row>
    <row r="723" spans="1:42" x14ac:dyDescent="0.25">
      <c r="A723">
        <v>8149.43</v>
      </c>
      <c r="B723">
        <v>52718.91</v>
      </c>
      <c r="C723">
        <v>2248.14</v>
      </c>
      <c r="D723">
        <v>3001.54</v>
      </c>
      <c r="E723">
        <v>11868.3</v>
      </c>
      <c r="F723">
        <v>77986.320000000007</v>
      </c>
      <c r="G723">
        <v>27520.080000000002</v>
      </c>
      <c r="H723">
        <v>14511.09</v>
      </c>
      <c r="I723">
        <v>5189.9799999999996</v>
      </c>
      <c r="J723">
        <v>47221.15</v>
      </c>
      <c r="K723">
        <v>125207.47</v>
      </c>
      <c r="L723">
        <v>83992.2</v>
      </c>
      <c r="M723">
        <v>13264.49</v>
      </c>
      <c r="N723">
        <v>202.54</v>
      </c>
      <c r="O723">
        <v>2990.47</v>
      </c>
      <c r="P723">
        <v>100449.69</v>
      </c>
      <c r="Q723">
        <v>462.97</v>
      </c>
      <c r="R723">
        <v>9197.99</v>
      </c>
      <c r="S723">
        <v>1431.91</v>
      </c>
      <c r="T723">
        <v>17751.37</v>
      </c>
      <c r="U723">
        <v>1715.82</v>
      </c>
      <c r="V723">
        <v>538.05999999999995</v>
      </c>
      <c r="W723">
        <v>24657.67</v>
      </c>
      <c r="X723">
        <v>55755.78</v>
      </c>
      <c r="Y723">
        <v>8354.41</v>
      </c>
      <c r="Z723">
        <v>14443.46</v>
      </c>
      <c r="AA723">
        <v>17246.79</v>
      </c>
      <c r="AB723">
        <v>0</v>
      </c>
      <c r="AC723">
        <v>4965.07</v>
      </c>
      <c r="AD723">
        <v>118.37</v>
      </c>
      <c r="AE723">
        <v>326541.03999999998</v>
      </c>
      <c r="AF723">
        <v>20007</v>
      </c>
      <c r="AG723" t="s">
        <v>140</v>
      </c>
      <c r="AH723" t="s">
        <v>141</v>
      </c>
      <c r="AI723" t="s">
        <v>140</v>
      </c>
      <c r="AJ723" t="s">
        <v>141</v>
      </c>
      <c r="AK723">
        <v>6087</v>
      </c>
      <c r="AL723" t="s">
        <v>44</v>
      </c>
      <c r="AM723">
        <v>3</v>
      </c>
      <c r="AN723">
        <v>3</v>
      </c>
      <c r="AO723">
        <v>2024</v>
      </c>
      <c r="AP723">
        <v>2</v>
      </c>
    </row>
    <row r="724" spans="1:42" x14ac:dyDescent="0.25">
      <c r="A724">
        <v>8286.09</v>
      </c>
      <c r="B724">
        <v>369259.77</v>
      </c>
      <c r="C724">
        <v>25140.83</v>
      </c>
      <c r="D724">
        <v>69346.460000000006</v>
      </c>
      <c r="E724">
        <v>164924.54</v>
      </c>
      <c r="F724">
        <v>636957.68999999994</v>
      </c>
      <c r="G724">
        <v>62675.29</v>
      </c>
      <c r="H724">
        <v>139242.44</v>
      </c>
      <c r="I724">
        <v>36708.53</v>
      </c>
      <c r="J724">
        <v>238626.26</v>
      </c>
      <c r="K724">
        <v>875583.94</v>
      </c>
      <c r="L724">
        <v>749981.48</v>
      </c>
      <c r="M724">
        <v>26883.58</v>
      </c>
      <c r="N724">
        <v>117155.03</v>
      </c>
      <c r="O724">
        <v>16448.919999999998</v>
      </c>
      <c r="P724">
        <v>910469.01</v>
      </c>
      <c r="Q724">
        <v>10433.879999999999</v>
      </c>
      <c r="R724">
        <v>79574.98</v>
      </c>
      <c r="S724">
        <v>6884.07</v>
      </c>
      <c r="T724">
        <v>131282.41</v>
      </c>
      <c r="U724">
        <v>47031.77</v>
      </c>
      <c r="V724">
        <v>1948.88</v>
      </c>
      <c r="W724">
        <v>263513.57</v>
      </c>
      <c r="X724">
        <v>540669.56000000006</v>
      </c>
      <c r="Y724">
        <v>52858.27</v>
      </c>
      <c r="Z724">
        <v>60720.05</v>
      </c>
      <c r="AA724">
        <v>181037.99</v>
      </c>
      <c r="AB724">
        <v>3027.61</v>
      </c>
      <c r="AC724">
        <v>39647.699999999997</v>
      </c>
      <c r="AD724">
        <v>48064.68</v>
      </c>
      <c r="AE724">
        <v>2712078.8</v>
      </c>
      <c r="AF724">
        <v>19977</v>
      </c>
      <c r="AG724" t="s">
        <v>142</v>
      </c>
      <c r="AH724" t="s">
        <v>143</v>
      </c>
      <c r="AI724" t="s">
        <v>142</v>
      </c>
      <c r="AJ724" t="s">
        <v>143</v>
      </c>
      <c r="AK724">
        <v>10874</v>
      </c>
      <c r="AL724" t="s">
        <v>53</v>
      </c>
      <c r="AM724">
        <v>3</v>
      </c>
      <c r="AN724">
        <v>3</v>
      </c>
      <c r="AO724">
        <v>2024</v>
      </c>
      <c r="AP724">
        <v>2</v>
      </c>
    </row>
    <row r="725" spans="1:42" x14ac:dyDescent="0.25">
      <c r="A725">
        <v>8299.44</v>
      </c>
      <c r="B725">
        <v>78897.5</v>
      </c>
      <c r="C725">
        <v>24303.99</v>
      </c>
      <c r="D725">
        <v>0</v>
      </c>
      <c r="E725">
        <v>2831.03</v>
      </c>
      <c r="F725">
        <v>114331.96</v>
      </c>
      <c r="G725">
        <v>1850.33</v>
      </c>
      <c r="H725">
        <v>15414.28</v>
      </c>
      <c r="I725">
        <v>6992.66</v>
      </c>
      <c r="J725">
        <v>24257.27</v>
      </c>
      <c r="K725">
        <v>138589.22</v>
      </c>
      <c r="L725">
        <v>134.63</v>
      </c>
      <c r="M725">
        <v>7324.28</v>
      </c>
      <c r="N725">
        <v>0</v>
      </c>
      <c r="O725">
        <v>0</v>
      </c>
      <c r="P725">
        <v>7458.91</v>
      </c>
      <c r="Q725">
        <v>0</v>
      </c>
      <c r="R725">
        <v>611.91999999999996</v>
      </c>
      <c r="S725">
        <v>1030.4000000000001</v>
      </c>
      <c r="T725">
        <v>35483.980000000003</v>
      </c>
      <c r="U725">
        <v>0</v>
      </c>
      <c r="V725">
        <v>0</v>
      </c>
      <c r="W725">
        <v>12600.67</v>
      </c>
      <c r="X725">
        <v>49726.97</v>
      </c>
      <c r="Y725">
        <v>0</v>
      </c>
      <c r="Z725">
        <v>3943.48</v>
      </c>
      <c r="AA725">
        <v>2057.48</v>
      </c>
      <c r="AB725">
        <v>238.88</v>
      </c>
      <c r="AC725">
        <v>20786.12</v>
      </c>
      <c r="AD725">
        <v>0</v>
      </c>
      <c r="AE725">
        <v>222801.06</v>
      </c>
      <c r="AF725">
        <v>20363</v>
      </c>
      <c r="AG725" t="s">
        <v>77</v>
      </c>
      <c r="AH725" t="s">
        <v>78</v>
      </c>
      <c r="AI725" t="s">
        <v>77</v>
      </c>
      <c r="AJ725" t="s">
        <v>78</v>
      </c>
      <c r="AK725">
        <v>7024</v>
      </c>
      <c r="AL725" t="s">
        <v>44</v>
      </c>
      <c r="AM725">
        <v>2</v>
      </c>
      <c r="AN725">
        <v>2</v>
      </c>
      <c r="AO725">
        <v>2024</v>
      </c>
      <c r="AP725">
        <v>4</v>
      </c>
    </row>
    <row r="726" spans="1:42" x14ac:dyDescent="0.25">
      <c r="A726">
        <v>8382.4699999999993</v>
      </c>
      <c r="B726">
        <v>93179.39</v>
      </c>
      <c r="C726">
        <v>3720.21</v>
      </c>
      <c r="D726">
        <v>6029.53</v>
      </c>
      <c r="E726">
        <v>22301.15</v>
      </c>
      <c r="F726">
        <v>133612.75</v>
      </c>
      <c r="G726">
        <v>49937.8</v>
      </c>
      <c r="H726">
        <v>25108.99</v>
      </c>
      <c r="I726">
        <v>10763.62</v>
      </c>
      <c r="J726">
        <v>85810.41</v>
      </c>
      <c r="K726">
        <v>219423.16</v>
      </c>
      <c r="L726">
        <v>248182.54</v>
      </c>
      <c r="M726">
        <v>21392.400000000001</v>
      </c>
      <c r="N726">
        <v>387.91</v>
      </c>
      <c r="O726">
        <v>5791.71</v>
      </c>
      <c r="P726">
        <v>275754.56</v>
      </c>
      <c r="Q726">
        <v>481.63</v>
      </c>
      <c r="R726">
        <v>16181.38</v>
      </c>
      <c r="S726">
        <v>2737.43</v>
      </c>
      <c r="T726">
        <v>32140.45</v>
      </c>
      <c r="U726">
        <v>2765.26</v>
      </c>
      <c r="V726">
        <v>1222.68</v>
      </c>
      <c r="W726">
        <v>43277.08</v>
      </c>
      <c r="X726">
        <v>98805.91</v>
      </c>
      <c r="Y726">
        <v>15224.54</v>
      </c>
      <c r="Z726">
        <v>42965.37</v>
      </c>
      <c r="AA726">
        <v>43382.17</v>
      </c>
      <c r="AB726">
        <v>0</v>
      </c>
      <c r="AC726">
        <v>7387.64</v>
      </c>
      <c r="AD726">
        <v>150.46</v>
      </c>
      <c r="AE726">
        <v>703093.82</v>
      </c>
      <c r="AF726">
        <v>20007</v>
      </c>
      <c r="AG726" t="s">
        <v>140</v>
      </c>
      <c r="AH726" t="s">
        <v>141</v>
      </c>
      <c r="AI726" t="s">
        <v>140</v>
      </c>
      <c r="AJ726" t="s">
        <v>141</v>
      </c>
      <c r="AK726">
        <v>16087</v>
      </c>
      <c r="AL726" t="s">
        <v>47</v>
      </c>
      <c r="AM726">
        <v>3</v>
      </c>
      <c r="AN726">
        <v>3</v>
      </c>
      <c r="AO726">
        <v>2024</v>
      </c>
      <c r="AP726">
        <v>1</v>
      </c>
    </row>
    <row r="727" spans="1:42" x14ac:dyDescent="0.25">
      <c r="A727">
        <v>8412.67</v>
      </c>
      <c r="B727">
        <v>138745.38</v>
      </c>
      <c r="C727">
        <v>16827.560000000001</v>
      </c>
      <c r="D727">
        <v>4532.37</v>
      </c>
      <c r="E727">
        <v>16762.38</v>
      </c>
      <c r="F727">
        <v>185280.36</v>
      </c>
      <c r="G727">
        <v>22129.22</v>
      </c>
      <c r="H727">
        <v>29628.92</v>
      </c>
      <c r="I727">
        <v>12443.77</v>
      </c>
      <c r="J727">
        <v>64201.91</v>
      </c>
      <c r="K727">
        <v>249482.26</v>
      </c>
      <c r="L727">
        <v>253226.74</v>
      </c>
      <c r="M727">
        <v>6071.54</v>
      </c>
      <c r="N727">
        <v>31.81</v>
      </c>
      <c r="O727">
        <v>2849.12</v>
      </c>
      <c r="P727">
        <v>262179.21000000002</v>
      </c>
      <c r="Q727">
        <v>1965.87</v>
      </c>
      <c r="R727">
        <v>2229.4899999999998</v>
      </c>
      <c r="S727">
        <v>2208.98</v>
      </c>
      <c r="T727">
        <v>21173.31</v>
      </c>
      <c r="U727">
        <v>3506.77</v>
      </c>
      <c r="V727">
        <v>0</v>
      </c>
      <c r="W727">
        <v>133231.06</v>
      </c>
      <c r="X727">
        <v>164315.48000000001</v>
      </c>
      <c r="Y727">
        <v>27973.31</v>
      </c>
      <c r="Z727">
        <v>190710.08</v>
      </c>
      <c r="AA727">
        <v>17690.13</v>
      </c>
      <c r="AB727">
        <v>103.49</v>
      </c>
      <c r="AC727">
        <v>-41425.040000000001</v>
      </c>
      <c r="AD727">
        <v>0</v>
      </c>
      <c r="AE727">
        <v>871028.92</v>
      </c>
      <c r="AF727">
        <v>20436</v>
      </c>
      <c r="AG727" t="s">
        <v>122</v>
      </c>
      <c r="AH727" t="s">
        <v>123</v>
      </c>
      <c r="AI727" t="s">
        <v>122</v>
      </c>
      <c r="AJ727" t="s">
        <v>123</v>
      </c>
      <c r="AK727">
        <v>6460</v>
      </c>
      <c r="AL727" t="s">
        <v>44</v>
      </c>
      <c r="AM727">
        <v>3</v>
      </c>
      <c r="AN727">
        <v>3</v>
      </c>
      <c r="AO727">
        <v>2024</v>
      </c>
      <c r="AP727">
        <v>2</v>
      </c>
    </row>
    <row r="728" spans="1:42" x14ac:dyDescent="0.25">
      <c r="A728">
        <v>8861.7800000000007</v>
      </c>
      <c r="B728">
        <v>80172.160000000003</v>
      </c>
      <c r="C728">
        <v>22978.29</v>
      </c>
      <c r="D728">
        <v>0</v>
      </c>
      <c r="E728">
        <v>2507.67</v>
      </c>
      <c r="F728">
        <v>114519.9</v>
      </c>
      <c r="G728">
        <v>1268.3900000000001</v>
      </c>
      <c r="H728">
        <v>15454.45</v>
      </c>
      <c r="I728">
        <v>9998.9500000000007</v>
      </c>
      <c r="J728">
        <v>26721.79</v>
      </c>
      <c r="K728">
        <v>141241.69</v>
      </c>
      <c r="L728">
        <v>135.29</v>
      </c>
      <c r="M728">
        <v>6256.41</v>
      </c>
      <c r="N728">
        <v>0</v>
      </c>
      <c r="O728">
        <v>0</v>
      </c>
      <c r="P728">
        <v>6391.69</v>
      </c>
      <c r="Q728">
        <v>0</v>
      </c>
      <c r="R728">
        <v>741.05</v>
      </c>
      <c r="S728">
        <v>1013.79</v>
      </c>
      <c r="T728">
        <v>26471.8</v>
      </c>
      <c r="U728">
        <v>0</v>
      </c>
      <c r="V728">
        <v>0</v>
      </c>
      <c r="W728">
        <v>13045.68</v>
      </c>
      <c r="X728">
        <v>41272.32</v>
      </c>
      <c r="Y728">
        <v>0</v>
      </c>
      <c r="Z728">
        <v>3908.7</v>
      </c>
      <c r="AA728">
        <v>1841.5</v>
      </c>
      <c r="AB728">
        <v>200.35</v>
      </c>
      <c r="AC728">
        <v>18549.71</v>
      </c>
      <c r="AD728">
        <v>0</v>
      </c>
      <c r="AE728">
        <v>213405.96</v>
      </c>
      <c r="AF728">
        <v>20363</v>
      </c>
      <c r="AG728" t="s">
        <v>77</v>
      </c>
      <c r="AH728" t="s">
        <v>78</v>
      </c>
      <c r="AI728" t="s">
        <v>77</v>
      </c>
      <c r="AJ728" t="s">
        <v>78</v>
      </c>
      <c r="AK728">
        <v>7024</v>
      </c>
      <c r="AL728" t="s">
        <v>44</v>
      </c>
      <c r="AM728">
        <v>2</v>
      </c>
      <c r="AN728">
        <v>2</v>
      </c>
      <c r="AO728">
        <v>2024</v>
      </c>
      <c r="AP728">
        <v>1</v>
      </c>
    </row>
    <row r="729" spans="1:42" x14ac:dyDescent="0.25">
      <c r="A729">
        <v>8879.32</v>
      </c>
      <c r="B729">
        <v>129325</v>
      </c>
      <c r="C729">
        <v>15604.22</v>
      </c>
      <c r="D729">
        <v>4476.6899999999996</v>
      </c>
      <c r="E729">
        <v>15860.29</v>
      </c>
      <c r="F729">
        <v>174145.51</v>
      </c>
      <c r="G729">
        <v>23713.69</v>
      </c>
      <c r="H729">
        <v>27390.37</v>
      </c>
      <c r="I729">
        <v>15528.22</v>
      </c>
      <c r="J729">
        <v>66632.28</v>
      </c>
      <c r="K729">
        <v>240777.79</v>
      </c>
      <c r="L729">
        <v>229006.56</v>
      </c>
      <c r="M729">
        <v>6534.58</v>
      </c>
      <c r="N729">
        <v>-6.51</v>
      </c>
      <c r="O729">
        <v>8124.24</v>
      </c>
      <c r="P729">
        <v>243658.86</v>
      </c>
      <c r="Q729">
        <v>1423.9</v>
      </c>
      <c r="R729">
        <v>1667.93</v>
      </c>
      <c r="S729">
        <v>2579.4</v>
      </c>
      <c r="T729">
        <v>26684.15</v>
      </c>
      <c r="U729">
        <v>2346.8200000000002</v>
      </c>
      <c r="V729">
        <v>0</v>
      </c>
      <c r="W729">
        <v>114690.45</v>
      </c>
      <c r="X729">
        <v>149392.64000000001</v>
      </c>
      <c r="Y729">
        <v>21368.47</v>
      </c>
      <c r="Z729">
        <v>188146.51</v>
      </c>
      <c r="AA729">
        <v>14589.19</v>
      </c>
      <c r="AB729">
        <v>101.29</v>
      </c>
      <c r="AC729">
        <v>-38126.400000000001</v>
      </c>
      <c r="AD729">
        <v>0</v>
      </c>
      <c r="AE729">
        <v>819908.35</v>
      </c>
      <c r="AF729">
        <v>20436</v>
      </c>
      <c r="AG729" t="s">
        <v>122</v>
      </c>
      <c r="AH729" t="s">
        <v>123</v>
      </c>
      <c r="AI729" t="s">
        <v>122</v>
      </c>
      <c r="AJ729" t="s">
        <v>123</v>
      </c>
      <c r="AK729">
        <v>6460</v>
      </c>
      <c r="AL729" t="s">
        <v>44</v>
      </c>
      <c r="AM729">
        <v>3</v>
      </c>
      <c r="AN729">
        <v>3</v>
      </c>
      <c r="AO729">
        <v>2024</v>
      </c>
      <c r="AP729">
        <v>1</v>
      </c>
    </row>
    <row r="730" spans="1:42" x14ac:dyDescent="0.25">
      <c r="A730">
        <v>9031.7000000000007</v>
      </c>
      <c r="B730">
        <v>317551.67</v>
      </c>
      <c r="C730">
        <v>23758.97</v>
      </c>
      <c r="D730">
        <v>61247.98</v>
      </c>
      <c r="E730">
        <v>169575.79</v>
      </c>
      <c r="F730">
        <v>581166.11</v>
      </c>
      <c r="G730">
        <v>50907.63</v>
      </c>
      <c r="H730">
        <v>121417.21</v>
      </c>
      <c r="I730">
        <v>25691.66</v>
      </c>
      <c r="J730">
        <v>198016.51</v>
      </c>
      <c r="K730">
        <v>779182.61</v>
      </c>
      <c r="L730">
        <v>537463.91</v>
      </c>
      <c r="M730">
        <v>28299.91</v>
      </c>
      <c r="N730">
        <v>100399.86</v>
      </c>
      <c r="O730">
        <v>13186.62</v>
      </c>
      <c r="P730">
        <v>679350.3</v>
      </c>
      <c r="Q730">
        <v>13095.63</v>
      </c>
      <c r="R730">
        <v>50770.53</v>
      </c>
      <c r="S730">
        <v>5664.1</v>
      </c>
      <c r="T730">
        <v>115112.64</v>
      </c>
      <c r="U730">
        <v>27299.200000000001</v>
      </c>
      <c r="V730">
        <v>2609.96</v>
      </c>
      <c r="W730">
        <v>257469.91</v>
      </c>
      <c r="X730">
        <v>472021.97</v>
      </c>
      <c r="Y730">
        <v>48165.19</v>
      </c>
      <c r="Z730">
        <v>47447.01</v>
      </c>
      <c r="AA730">
        <v>151224.32000000001</v>
      </c>
      <c r="AB730">
        <v>3966.79</v>
      </c>
      <c r="AC730">
        <v>43627.79</v>
      </c>
      <c r="AD730">
        <v>40508.300000000003</v>
      </c>
      <c r="AE730">
        <v>2265494.2599999998</v>
      </c>
      <c r="AF730">
        <v>19977</v>
      </c>
      <c r="AG730" t="s">
        <v>142</v>
      </c>
      <c r="AH730" t="s">
        <v>143</v>
      </c>
      <c r="AI730" t="s">
        <v>142</v>
      </c>
      <c r="AJ730" t="s">
        <v>143</v>
      </c>
      <c r="AK730">
        <v>10874</v>
      </c>
      <c r="AL730" t="s">
        <v>53</v>
      </c>
      <c r="AM730">
        <v>3</v>
      </c>
      <c r="AN730">
        <v>3</v>
      </c>
      <c r="AO730">
        <v>2024</v>
      </c>
      <c r="AP730">
        <v>4</v>
      </c>
    </row>
    <row r="731" spans="1:42" x14ac:dyDescent="0.25">
      <c r="A731">
        <v>9191</v>
      </c>
      <c r="B731">
        <v>401610</v>
      </c>
      <c r="C731">
        <v>53111</v>
      </c>
      <c r="D731">
        <v>146168</v>
      </c>
      <c r="E731">
        <v>208798</v>
      </c>
      <c r="F731">
        <v>818878</v>
      </c>
      <c r="G731">
        <v>62192</v>
      </c>
      <c r="H731">
        <v>180603</v>
      </c>
      <c r="I731">
        <v>44237</v>
      </c>
      <c r="J731">
        <v>287032</v>
      </c>
      <c r="K731">
        <v>1105910</v>
      </c>
      <c r="L731">
        <v>674147</v>
      </c>
      <c r="M731">
        <v>57671</v>
      </c>
      <c r="N731">
        <v>100307</v>
      </c>
      <c r="O731">
        <v>23443</v>
      </c>
      <c r="P731">
        <v>855568</v>
      </c>
      <c r="Q731">
        <v>29841</v>
      </c>
      <c r="R731">
        <v>26147</v>
      </c>
      <c r="S731">
        <v>4571</v>
      </c>
      <c r="T731">
        <v>63406</v>
      </c>
      <c r="U731">
        <v>28118</v>
      </c>
      <c r="V731">
        <v>804</v>
      </c>
      <c r="W731">
        <v>329035</v>
      </c>
      <c r="X731">
        <v>481922</v>
      </c>
      <c r="Y731">
        <v>67169</v>
      </c>
      <c r="Z731">
        <v>156963</v>
      </c>
      <c r="AA731">
        <v>96549</v>
      </c>
      <c r="AB731">
        <v>17652</v>
      </c>
      <c r="AC731">
        <v>62491</v>
      </c>
      <c r="AD731">
        <v>44962</v>
      </c>
      <c r="AE731">
        <v>2889186</v>
      </c>
      <c r="AF731">
        <v>19790</v>
      </c>
      <c r="AG731" t="s">
        <v>134</v>
      </c>
      <c r="AH731" t="s">
        <v>135</v>
      </c>
      <c r="AI731" t="s">
        <v>134</v>
      </c>
      <c r="AJ731" t="s">
        <v>135</v>
      </c>
      <c r="AK731">
        <v>10261</v>
      </c>
      <c r="AL731" t="s">
        <v>53</v>
      </c>
      <c r="AM731">
        <v>3</v>
      </c>
      <c r="AN731">
        <v>3</v>
      </c>
      <c r="AO731">
        <v>2024</v>
      </c>
      <c r="AP731">
        <v>3</v>
      </c>
    </row>
    <row r="732" spans="1:42" x14ac:dyDescent="0.25">
      <c r="A732">
        <v>9841.5400000000009</v>
      </c>
      <c r="B732">
        <v>43814.07</v>
      </c>
      <c r="C732">
        <v>37973.769999999997</v>
      </c>
      <c r="D732">
        <v>7392.21</v>
      </c>
      <c r="F732">
        <v>99021.59</v>
      </c>
      <c r="G732">
        <v>23056.240000000002</v>
      </c>
      <c r="H732">
        <v>15436.2</v>
      </c>
      <c r="I732">
        <v>5709</v>
      </c>
      <c r="J732">
        <v>44201.45</v>
      </c>
      <c r="K732">
        <v>143223.03</v>
      </c>
      <c r="L732">
        <v>114738.01</v>
      </c>
      <c r="M732">
        <v>15880.12</v>
      </c>
      <c r="O732">
        <v>175.93</v>
      </c>
      <c r="P732">
        <v>130794.05</v>
      </c>
      <c r="Q732">
        <v>2138.79</v>
      </c>
      <c r="R732">
        <v>1336.95</v>
      </c>
      <c r="S732">
        <v>1525.78</v>
      </c>
      <c r="T732">
        <v>43835.43</v>
      </c>
      <c r="V732">
        <v>9397.7800000000007</v>
      </c>
      <c r="W732">
        <v>28782.67</v>
      </c>
      <c r="X732">
        <v>87017.4</v>
      </c>
      <c r="Y732">
        <v>4981.71</v>
      </c>
      <c r="Z732">
        <v>6245.33</v>
      </c>
      <c r="AA732">
        <v>19702.43</v>
      </c>
      <c r="AD732">
        <v>58071.03</v>
      </c>
      <c r="AE732">
        <v>450034.97</v>
      </c>
      <c r="AF732">
        <v>20370</v>
      </c>
      <c r="AG732" t="s">
        <v>81</v>
      </c>
      <c r="AH732" t="s">
        <v>82</v>
      </c>
      <c r="AI732" t="s">
        <v>81</v>
      </c>
      <c r="AJ732" t="s">
        <v>82</v>
      </c>
      <c r="AK732">
        <v>16683</v>
      </c>
      <c r="AL732" t="s">
        <v>47</v>
      </c>
      <c r="AM732">
        <v>3</v>
      </c>
      <c r="AN732">
        <v>3</v>
      </c>
      <c r="AO732">
        <v>2024</v>
      </c>
      <c r="AP732">
        <v>4</v>
      </c>
    </row>
    <row r="733" spans="1:42" x14ac:dyDescent="0.25">
      <c r="A733">
        <v>10343</v>
      </c>
      <c r="B733">
        <v>1328842</v>
      </c>
      <c r="C733">
        <v>115026</v>
      </c>
      <c r="D733">
        <v>512611</v>
      </c>
      <c r="E733">
        <v>360974</v>
      </c>
      <c r="F733">
        <v>2327796</v>
      </c>
      <c r="G733">
        <v>159080</v>
      </c>
      <c r="H733">
        <v>691805</v>
      </c>
      <c r="I733">
        <v>131237</v>
      </c>
      <c r="J733">
        <v>982122</v>
      </c>
      <c r="K733">
        <v>3309918</v>
      </c>
      <c r="L733">
        <v>1233241</v>
      </c>
      <c r="M733">
        <v>101937</v>
      </c>
      <c r="N733">
        <v>18918</v>
      </c>
      <c r="O733">
        <v>19037</v>
      </c>
      <c r="P733">
        <v>1373133</v>
      </c>
      <c r="Q733">
        <v>51651</v>
      </c>
      <c r="R733">
        <v>7056</v>
      </c>
      <c r="S733">
        <v>18328</v>
      </c>
      <c r="T733">
        <v>226120</v>
      </c>
      <c r="U733">
        <v>2088</v>
      </c>
      <c r="V733">
        <v>800</v>
      </c>
      <c r="W733">
        <v>532531</v>
      </c>
      <c r="X733">
        <v>838574</v>
      </c>
      <c r="Y733">
        <v>188957</v>
      </c>
      <c r="Z733">
        <v>374906</v>
      </c>
      <c r="AA733">
        <v>383336</v>
      </c>
      <c r="AB733">
        <v>12107</v>
      </c>
      <c r="AC733">
        <v>-27629</v>
      </c>
      <c r="AD733">
        <v>35107</v>
      </c>
      <c r="AE733">
        <v>6488409</v>
      </c>
      <c r="AF733">
        <v>19393</v>
      </c>
      <c r="AG733" t="s">
        <v>99</v>
      </c>
      <c r="AH733" t="s">
        <v>100</v>
      </c>
      <c r="AI733" t="s">
        <v>99</v>
      </c>
      <c r="AJ733" t="s">
        <v>100</v>
      </c>
      <c r="AK733">
        <v>6725</v>
      </c>
      <c r="AL733" t="s">
        <v>44</v>
      </c>
      <c r="AM733">
        <v>3</v>
      </c>
      <c r="AN733">
        <v>3</v>
      </c>
      <c r="AO733">
        <v>2024</v>
      </c>
      <c r="AP733">
        <v>4</v>
      </c>
    </row>
    <row r="734" spans="1:42" x14ac:dyDescent="0.25">
      <c r="A734">
        <v>10461.209999999999</v>
      </c>
      <c r="B734">
        <v>134661.29</v>
      </c>
      <c r="C734">
        <v>19249.04</v>
      </c>
      <c r="D734">
        <v>5719.92</v>
      </c>
      <c r="E734">
        <v>17890.78</v>
      </c>
      <c r="F734">
        <v>187982.24</v>
      </c>
      <c r="G734">
        <v>19798.52</v>
      </c>
      <c r="H734">
        <v>35992.28</v>
      </c>
      <c r="I734">
        <v>10010.26</v>
      </c>
      <c r="J734">
        <v>65801.05</v>
      </c>
      <c r="K734">
        <v>253783.3</v>
      </c>
      <c r="L734">
        <v>209070.35</v>
      </c>
      <c r="M734">
        <v>6518.99</v>
      </c>
      <c r="N734">
        <v>14.12</v>
      </c>
      <c r="O734">
        <v>6612.44</v>
      </c>
      <c r="P734">
        <v>222215.9</v>
      </c>
      <c r="Q734">
        <v>1993.26</v>
      </c>
      <c r="R734">
        <v>2596.38</v>
      </c>
      <c r="S734">
        <v>2383.29</v>
      </c>
      <c r="T734">
        <v>43284.88</v>
      </c>
      <c r="U734">
        <v>2229.94</v>
      </c>
      <c r="V734">
        <v>0</v>
      </c>
      <c r="W734">
        <v>140671.41</v>
      </c>
      <c r="X734">
        <v>193159.14</v>
      </c>
      <c r="Y734">
        <v>31094.97</v>
      </c>
      <c r="Z734">
        <v>248568.04</v>
      </c>
      <c r="AA734">
        <v>18693.900000000001</v>
      </c>
      <c r="AB734">
        <v>90.02</v>
      </c>
      <c r="AC734">
        <v>-47689.02</v>
      </c>
      <c r="AD734">
        <v>0</v>
      </c>
      <c r="AE734">
        <v>919916.24</v>
      </c>
      <c r="AF734">
        <v>20436</v>
      </c>
      <c r="AG734" t="s">
        <v>122</v>
      </c>
      <c r="AH734" t="s">
        <v>123</v>
      </c>
      <c r="AI734" t="s">
        <v>122</v>
      </c>
      <c r="AJ734" t="s">
        <v>123</v>
      </c>
      <c r="AK734">
        <v>6460</v>
      </c>
      <c r="AL734" t="s">
        <v>44</v>
      </c>
      <c r="AM734">
        <v>3</v>
      </c>
      <c r="AN734">
        <v>3</v>
      </c>
      <c r="AO734">
        <v>2024</v>
      </c>
      <c r="AP734">
        <v>4</v>
      </c>
    </row>
    <row r="735" spans="1:42" x14ac:dyDescent="0.25">
      <c r="A735">
        <v>10544.55</v>
      </c>
      <c r="B735">
        <v>77581.440000000002</v>
      </c>
      <c r="C735">
        <v>23631.040000000001</v>
      </c>
      <c r="D735">
        <v>0</v>
      </c>
      <c r="E735">
        <v>2721.48</v>
      </c>
      <c r="F735">
        <v>114478.52</v>
      </c>
      <c r="G735">
        <v>1496.74</v>
      </c>
      <c r="H735">
        <v>15354.85</v>
      </c>
      <c r="I735">
        <v>7660.79</v>
      </c>
      <c r="J735">
        <v>24512.38</v>
      </c>
      <c r="K735">
        <v>138990.9</v>
      </c>
      <c r="L735">
        <v>146.03</v>
      </c>
      <c r="M735">
        <v>7420.65</v>
      </c>
      <c r="N735">
        <v>0</v>
      </c>
      <c r="O735">
        <v>0</v>
      </c>
      <c r="P735">
        <v>7566.67</v>
      </c>
      <c r="Q735">
        <v>0</v>
      </c>
      <c r="R735">
        <v>594.05999999999995</v>
      </c>
      <c r="S735">
        <v>870.69</v>
      </c>
      <c r="T735">
        <v>35138.550000000003</v>
      </c>
      <c r="U735">
        <v>0</v>
      </c>
      <c r="V735">
        <v>0</v>
      </c>
      <c r="W735">
        <v>12536.05</v>
      </c>
      <c r="X735">
        <v>49139.35</v>
      </c>
      <c r="Y735">
        <v>0</v>
      </c>
      <c r="Z735">
        <v>3887.46</v>
      </c>
      <c r="AA735">
        <v>1944.34</v>
      </c>
      <c r="AB735">
        <v>236.41</v>
      </c>
      <c r="AC735">
        <v>19564.439999999999</v>
      </c>
      <c r="AD735">
        <v>0</v>
      </c>
      <c r="AE735">
        <v>221329.57</v>
      </c>
      <c r="AF735">
        <v>20363</v>
      </c>
      <c r="AG735" t="s">
        <v>77</v>
      </c>
      <c r="AH735" t="s">
        <v>78</v>
      </c>
      <c r="AI735" t="s">
        <v>77</v>
      </c>
      <c r="AJ735" t="s">
        <v>78</v>
      </c>
      <c r="AK735">
        <v>7024</v>
      </c>
      <c r="AL735" t="s">
        <v>44</v>
      </c>
      <c r="AM735">
        <v>2</v>
      </c>
      <c r="AN735">
        <v>2</v>
      </c>
      <c r="AO735">
        <v>2024</v>
      </c>
      <c r="AP735">
        <v>3</v>
      </c>
    </row>
    <row r="736" spans="1:42" x14ac:dyDescent="0.25">
      <c r="A736">
        <v>10746</v>
      </c>
      <c r="B736">
        <v>1307127</v>
      </c>
      <c r="C736">
        <v>121396</v>
      </c>
      <c r="D736">
        <v>500404</v>
      </c>
      <c r="E736">
        <v>363604</v>
      </c>
      <c r="F736">
        <v>2303277</v>
      </c>
      <c r="G736">
        <v>162282</v>
      </c>
      <c r="H736">
        <v>564120</v>
      </c>
      <c r="I736">
        <v>119017</v>
      </c>
      <c r="J736">
        <v>845419</v>
      </c>
      <c r="K736">
        <v>3148696</v>
      </c>
      <c r="L736">
        <v>1379031</v>
      </c>
      <c r="M736">
        <v>94746</v>
      </c>
      <c r="N736">
        <v>18868</v>
      </c>
      <c r="O736">
        <v>18912</v>
      </c>
      <c r="P736">
        <v>1511557</v>
      </c>
      <c r="Q736">
        <v>77359</v>
      </c>
      <c r="R736">
        <v>7479</v>
      </c>
      <c r="S736">
        <v>18342</v>
      </c>
      <c r="T736">
        <v>250433</v>
      </c>
      <c r="U736">
        <v>1439</v>
      </c>
      <c r="V736">
        <v>726</v>
      </c>
      <c r="W736">
        <v>512981</v>
      </c>
      <c r="X736">
        <v>868759</v>
      </c>
      <c r="Y736">
        <v>186046</v>
      </c>
      <c r="Z736">
        <v>364104</v>
      </c>
      <c r="AA736">
        <v>415324</v>
      </c>
      <c r="AB736">
        <v>12190</v>
      </c>
      <c r="AC736">
        <v>107409</v>
      </c>
      <c r="AD736">
        <v>34010</v>
      </c>
      <c r="AE736">
        <v>6648095</v>
      </c>
      <c r="AF736">
        <v>19393</v>
      </c>
      <c r="AG736" t="s">
        <v>99</v>
      </c>
      <c r="AH736" t="s">
        <v>100</v>
      </c>
      <c r="AI736" t="s">
        <v>99</v>
      </c>
      <c r="AJ736" t="s">
        <v>100</v>
      </c>
      <c r="AK736">
        <v>6725</v>
      </c>
      <c r="AL736" t="s">
        <v>44</v>
      </c>
      <c r="AM736">
        <v>3</v>
      </c>
      <c r="AN736">
        <v>3</v>
      </c>
      <c r="AO736">
        <v>2024</v>
      </c>
      <c r="AP736">
        <v>3</v>
      </c>
    </row>
    <row r="737" spans="1:42" x14ac:dyDescent="0.25">
      <c r="A737">
        <v>10960.47</v>
      </c>
      <c r="B737">
        <v>221335.87</v>
      </c>
      <c r="C737">
        <v>24040.18</v>
      </c>
      <c r="D737">
        <v>2610.31</v>
      </c>
      <c r="E737">
        <v>22267.73</v>
      </c>
      <c r="F737">
        <v>281214.56</v>
      </c>
      <c r="G737">
        <v>10581.43</v>
      </c>
      <c r="H737">
        <v>58261.42</v>
      </c>
      <c r="I737">
        <v>23175.62</v>
      </c>
      <c r="J737">
        <v>92018.47</v>
      </c>
      <c r="K737">
        <v>373233.03</v>
      </c>
      <c r="L737">
        <v>351493.98</v>
      </c>
      <c r="M737">
        <v>36067.480000000003</v>
      </c>
      <c r="N737">
        <v>738.98</v>
      </c>
      <c r="O737">
        <v>3458.08</v>
      </c>
      <c r="P737">
        <v>391758.52</v>
      </c>
      <c r="Q737">
        <v>2404.66</v>
      </c>
      <c r="R737">
        <v>10562.34</v>
      </c>
      <c r="S737">
        <v>4789.3599999999997</v>
      </c>
      <c r="T737">
        <v>12391.92</v>
      </c>
      <c r="U737">
        <v>0</v>
      </c>
      <c r="V737">
        <v>0</v>
      </c>
      <c r="W737">
        <v>240365.86</v>
      </c>
      <c r="X737">
        <v>270514.14</v>
      </c>
      <c r="Y737">
        <v>32271.32</v>
      </c>
      <c r="Z737">
        <v>99653.06</v>
      </c>
      <c r="AA737">
        <v>46716.4</v>
      </c>
      <c r="AB737">
        <v>23648.11</v>
      </c>
      <c r="AC737">
        <v>36241.31</v>
      </c>
      <c r="AD737">
        <v>0</v>
      </c>
      <c r="AE737">
        <v>1274035.8799999999</v>
      </c>
      <c r="AF737">
        <v>20416</v>
      </c>
      <c r="AG737" t="s">
        <v>128</v>
      </c>
      <c r="AH737" t="s">
        <v>129</v>
      </c>
      <c r="AI737" t="s">
        <v>128</v>
      </c>
      <c r="AJ737" t="s">
        <v>129</v>
      </c>
      <c r="AK737">
        <v>6830</v>
      </c>
      <c r="AL737" t="s">
        <v>44</v>
      </c>
      <c r="AM737">
        <v>3</v>
      </c>
      <c r="AN737">
        <v>3</v>
      </c>
      <c r="AO737">
        <v>2024</v>
      </c>
      <c r="AP737">
        <v>1</v>
      </c>
    </row>
    <row r="738" spans="1:42" x14ac:dyDescent="0.25">
      <c r="A738">
        <v>11021.44</v>
      </c>
      <c r="B738">
        <v>219447.87</v>
      </c>
      <c r="C738">
        <v>25105.62</v>
      </c>
      <c r="D738">
        <v>2784.77</v>
      </c>
      <c r="E738">
        <v>20072.3</v>
      </c>
      <c r="F738">
        <v>278432</v>
      </c>
      <c r="G738">
        <v>11226.05</v>
      </c>
      <c r="H738">
        <v>62919.48</v>
      </c>
      <c r="I738">
        <v>20197.240000000002</v>
      </c>
      <c r="J738">
        <v>94342.76</v>
      </c>
      <c r="K738">
        <v>372774.76</v>
      </c>
      <c r="L738">
        <v>362900.6</v>
      </c>
      <c r="M738">
        <v>37938.21</v>
      </c>
      <c r="N738">
        <v>725.06</v>
      </c>
      <c r="O738">
        <v>4284.1899999999996</v>
      </c>
      <c r="P738">
        <v>405848.05</v>
      </c>
      <c r="Q738">
        <v>2515.71</v>
      </c>
      <c r="R738">
        <v>11014.64</v>
      </c>
      <c r="S738">
        <v>4651.51</v>
      </c>
      <c r="T738">
        <v>9511.52</v>
      </c>
      <c r="U738">
        <v>0</v>
      </c>
      <c r="V738">
        <v>0</v>
      </c>
      <c r="W738">
        <v>249531.86</v>
      </c>
      <c r="X738">
        <v>277225.24</v>
      </c>
      <c r="Y738">
        <v>36327.629999999997</v>
      </c>
      <c r="Z738">
        <v>111677.3</v>
      </c>
      <c r="AA738">
        <v>49755.1</v>
      </c>
      <c r="AB738">
        <v>25521.79</v>
      </c>
      <c r="AC738">
        <v>-1969.38</v>
      </c>
      <c r="AD738">
        <v>0</v>
      </c>
      <c r="AE738">
        <v>1277160.5</v>
      </c>
      <c r="AF738">
        <v>20416</v>
      </c>
      <c r="AG738" t="s">
        <v>128</v>
      </c>
      <c r="AH738" t="s">
        <v>129</v>
      </c>
      <c r="AI738" t="s">
        <v>128</v>
      </c>
      <c r="AJ738" t="s">
        <v>129</v>
      </c>
      <c r="AK738">
        <v>6830</v>
      </c>
      <c r="AL738" t="s">
        <v>44</v>
      </c>
      <c r="AM738">
        <v>3</v>
      </c>
      <c r="AN738">
        <v>3</v>
      </c>
      <c r="AO738">
        <v>2024</v>
      </c>
      <c r="AP738">
        <v>2</v>
      </c>
    </row>
    <row r="739" spans="1:42" x14ac:dyDescent="0.25">
      <c r="A739">
        <v>11202.3</v>
      </c>
      <c r="B739">
        <v>401887.05</v>
      </c>
      <c r="C739">
        <v>27782.9</v>
      </c>
      <c r="D739">
        <v>76630.91</v>
      </c>
      <c r="E739">
        <v>204391.17</v>
      </c>
      <c r="F739">
        <v>721894.33</v>
      </c>
      <c r="G739">
        <v>70343.240000000005</v>
      </c>
      <c r="H739">
        <v>157766.78</v>
      </c>
      <c r="I739">
        <v>34283.31</v>
      </c>
      <c r="J739">
        <v>262393.32</v>
      </c>
      <c r="K739">
        <v>984287.65</v>
      </c>
      <c r="L739">
        <v>767715.74</v>
      </c>
      <c r="M739">
        <v>35159.93</v>
      </c>
      <c r="N739">
        <v>134367.87</v>
      </c>
      <c r="O739">
        <v>16632.02</v>
      </c>
      <c r="P739">
        <v>953875.56</v>
      </c>
      <c r="Q739">
        <v>11752.43</v>
      </c>
      <c r="R739">
        <v>66756.95</v>
      </c>
      <c r="S739">
        <v>7891.19</v>
      </c>
      <c r="T739">
        <v>170521.09</v>
      </c>
      <c r="U739">
        <v>39746.620000000003</v>
      </c>
      <c r="V739">
        <v>2118.3200000000002</v>
      </c>
      <c r="W739">
        <v>298365.15999999997</v>
      </c>
      <c r="X739">
        <v>597151.77</v>
      </c>
      <c r="Y739">
        <v>60322.41</v>
      </c>
      <c r="Z739">
        <v>62421.97</v>
      </c>
      <c r="AA739">
        <v>187992.36</v>
      </c>
      <c r="AB739">
        <v>7832.11</v>
      </c>
      <c r="AC739">
        <v>36805.61</v>
      </c>
      <c r="AD739">
        <v>48501.760000000002</v>
      </c>
      <c r="AE739">
        <v>2939191.18</v>
      </c>
      <c r="AF739">
        <v>19977</v>
      </c>
      <c r="AG739" t="s">
        <v>142</v>
      </c>
      <c r="AH739" t="s">
        <v>143</v>
      </c>
      <c r="AI739" t="s">
        <v>142</v>
      </c>
      <c r="AJ739" t="s">
        <v>143</v>
      </c>
      <c r="AK739">
        <v>10874</v>
      </c>
      <c r="AL739" t="s">
        <v>53</v>
      </c>
      <c r="AM739">
        <v>3</v>
      </c>
      <c r="AN739">
        <v>3</v>
      </c>
      <c r="AO739">
        <v>2024</v>
      </c>
      <c r="AP739">
        <v>3</v>
      </c>
    </row>
    <row r="740" spans="1:42" x14ac:dyDescent="0.25">
      <c r="A740">
        <v>11356.45</v>
      </c>
      <c r="B740">
        <v>114951.92</v>
      </c>
      <c r="C740">
        <v>4354.28</v>
      </c>
      <c r="D740">
        <v>6070.67</v>
      </c>
      <c r="E740">
        <v>23595.45</v>
      </c>
      <c r="F740">
        <v>160328.78</v>
      </c>
      <c r="G740">
        <v>56950.8</v>
      </c>
      <c r="H740">
        <v>26847.759999999998</v>
      </c>
      <c r="I740">
        <v>7226.95</v>
      </c>
      <c r="J740">
        <v>91025.51</v>
      </c>
      <c r="K740">
        <v>251354.28</v>
      </c>
      <c r="L740">
        <v>262131.88</v>
      </c>
      <c r="M740">
        <v>27825.7</v>
      </c>
      <c r="N740">
        <v>423.41</v>
      </c>
      <c r="O740">
        <v>6068.06</v>
      </c>
      <c r="P740">
        <v>296449.03999999998</v>
      </c>
      <c r="Q740">
        <v>431.95</v>
      </c>
      <c r="R740">
        <v>20587.98</v>
      </c>
      <c r="S740">
        <v>3098.57</v>
      </c>
      <c r="T740">
        <v>38318.97</v>
      </c>
      <c r="U740">
        <v>2536.25</v>
      </c>
      <c r="V740">
        <v>712.36</v>
      </c>
      <c r="W740">
        <v>49709.83</v>
      </c>
      <c r="X740">
        <v>115395.89</v>
      </c>
      <c r="Y740">
        <v>19487.580000000002</v>
      </c>
      <c r="Z740">
        <v>40305.760000000002</v>
      </c>
      <c r="AA740">
        <v>52063.87</v>
      </c>
      <c r="AB740">
        <v>0</v>
      </c>
      <c r="AC740">
        <v>12339.61</v>
      </c>
      <c r="AD740">
        <v>266.75</v>
      </c>
      <c r="AE740">
        <v>787662.78</v>
      </c>
      <c r="AF740">
        <v>20007</v>
      </c>
      <c r="AG740" t="s">
        <v>140</v>
      </c>
      <c r="AH740" t="s">
        <v>141</v>
      </c>
      <c r="AI740" t="s">
        <v>140</v>
      </c>
      <c r="AJ740" t="s">
        <v>141</v>
      </c>
      <c r="AK740">
        <v>16087</v>
      </c>
      <c r="AL740" t="s">
        <v>47</v>
      </c>
      <c r="AM740">
        <v>3</v>
      </c>
      <c r="AN740">
        <v>3</v>
      </c>
      <c r="AO740">
        <v>2024</v>
      </c>
      <c r="AP740">
        <v>3</v>
      </c>
    </row>
    <row r="741" spans="1:42" x14ac:dyDescent="0.25">
      <c r="A741">
        <v>12531.05</v>
      </c>
      <c r="B741">
        <v>228152.33</v>
      </c>
      <c r="C741">
        <v>25824.26</v>
      </c>
      <c r="D741">
        <v>3028.72</v>
      </c>
      <c r="E741">
        <v>23155.25</v>
      </c>
      <c r="F741">
        <v>292691.59999999998</v>
      </c>
      <c r="G741">
        <v>11492.46</v>
      </c>
      <c r="H741">
        <v>66101.31</v>
      </c>
      <c r="I741">
        <v>16689.68</v>
      </c>
      <c r="J741">
        <v>94283.45</v>
      </c>
      <c r="K741">
        <v>386975.05</v>
      </c>
      <c r="L741">
        <v>338299.72</v>
      </c>
      <c r="M741">
        <v>40715.97</v>
      </c>
      <c r="N741">
        <v>1278.8</v>
      </c>
      <c r="O741">
        <v>5480.68</v>
      </c>
      <c r="P741">
        <v>385775.16</v>
      </c>
      <c r="Q741">
        <v>12651.91</v>
      </c>
      <c r="R741">
        <v>11938.15</v>
      </c>
      <c r="S741">
        <v>5255.32</v>
      </c>
      <c r="T741">
        <v>12509.69</v>
      </c>
      <c r="U741">
        <v>0</v>
      </c>
      <c r="V741">
        <v>0</v>
      </c>
      <c r="W741">
        <v>270746.82</v>
      </c>
      <c r="X741">
        <v>313101.90000000002</v>
      </c>
      <c r="Y741">
        <v>37929.040000000001</v>
      </c>
      <c r="Z741">
        <v>134550.51999999999</v>
      </c>
      <c r="AA741">
        <v>49256.62</v>
      </c>
      <c r="AB741">
        <v>26872.93</v>
      </c>
      <c r="AC741">
        <v>18688.88</v>
      </c>
      <c r="AD741">
        <v>0</v>
      </c>
      <c r="AE741">
        <v>1353150.09</v>
      </c>
      <c r="AF741">
        <v>20416</v>
      </c>
      <c r="AG741" t="s">
        <v>128</v>
      </c>
      <c r="AH741" t="s">
        <v>129</v>
      </c>
      <c r="AI741" t="s">
        <v>128</v>
      </c>
      <c r="AJ741" t="s">
        <v>129</v>
      </c>
      <c r="AK741">
        <v>6830</v>
      </c>
      <c r="AL741" t="s">
        <v>44</v>
      </c>
      <c r="AM741">
        <v>3</v>
      </c>
      <c r="AN741">
        <v>3</v>
      </c>
      <c r="AO741">
        <v>2024</v>
      </c>
      <c r="AP741">
        <v>3</v>
      </c>
    </row>
    <row r="742" spans="1:42" x14ac:dyDescent="0.25">
      <c r="A742">
        <v>13776.08</v>
      </c>
      <c r="B742">
        <v>124527.91</v>
      </c>
      <c r="C742">
        <v>4251.82</v>
      </c>
      <c r="D742">
        <v>5881.25</v>
      </c>
      <c r="E742">
        <v>21458.21</v>
      </c>
      <c r="F742">
        <v>169895.27</v>
      </c>
      <c r="G742">
        <v>55877.87</v>
      </c>
      <c r="H742">
        <v>27109.43</v>
      </c>
      <c r="I742">
        <v>5734.62</v>
      </c>
      <c r="J742">
        <v>88721.919999999998</v>
      </c>
      <c r="K742">
        <v>258617.19</v>
      </c>
      <c r="L742">
        <v>282771.37</v>
      </c>
      <c r="M742">
        <v>28111.26</v>
      </c>
      <c r="N742">
        <v>436.64</v>
      </c>
      <c r="O742">
        <v>6688.55</v>
      </c>
      <c r="P742">
        <v>318007.81</v>
      </c>
      <c r="Q742">
        <v>698.1</v>
      </c>
      <c r="R742">
        <v>24877.47</v>
      </c>
      <c r="S742">
        <v>3432.88</v>
      </c>
      <c r="T742">
        <v>44961.36</v>
      </c>
      <c r="U742">
        <v>3158.25</v>
      </c>
      <c r="V742">
        <v>3136.05</v>
      </c>
      <c r="W742">
        <v>51331.19</v>
      </c>
      <c r="X742">
        <v>131595.29999999999</v>
      </c>
      <c r="Y742">
        <v>21243.74</v>
      </c>
      <c r="Z742">
        <v>41712.32</v>
      </c>
      <c r="AA742">
        <v>59051.42</v>
      </c>
      <c r="AB742">
        <v>0</v>
      </c>
      <c r="AC742">
        <v>5580.76</v>
      </c>
      <c r="AD742">
        <v>359.41</v>
      </c>
      <c r="AE742">
        <v>836167.96</v>
      </c>
      <c r="AF742">
        <v>20007</v>
      </c>
      <c r="AG742" t="s">
        <v>140</v>
      </c>
      <c r="AH742" t="s">
        <v>141</v>
      </c>
      <c r="AI742" t="s">
        <v>140</v>
      </c>
      <c r="AJ742" t="s">
        <v>141</v>
      </c>
      <c r="AK742">
        <v>16087</v>
      </c>
      <c r="AL742" t="s">
        <v>47</v>
      </c>
      <c r="AM742">
        <v>3</v>
      </c>
      <c r="AN742">
        <v>3</v>
      </c>
      <c r="AO742">
        <v>2024</v>
      </c>
      <c r="AP742">
        <v>4</v>
      </c>
    </row>
    <row r="743" spans="1:42" x14ac:dyDescent="0.25">
      <c r="A743">
        <v>14066</v>
      </c>
      <c r="B743">
        <v>45418</v>
      </c>
      <c r="C743">
        <v>13174</v>
      </c>
      <c r="D743">
        <v>77743</v>
      </c>
      <c r="E743">
        <v>40992</v>
      </c>
      <c r="F743">
        <v>191393</v>
      </c>
      <c r="G743">
        <v>14108</v>
      </c>
      <c r="H743">
        <v>17196</v>
      </c>
      <c r="I743">
        <v>40747</v>
      </c>
      <c r="J743">
        <v>72051</v>
      </c>
      <c r="K743">
        <v>263444</v>
      </c>
      <c r="L743">
        <v>118664</v>
      </c>
      <c r="M743">
        <v>18628</v>
      </c>
      <c r="N743">
        <v>20</v>
      </c>
      <c r="O743">
        <v>14937</v>
      </c>
      <c r="P743">
        <v>152249</v>
      </c>
      <c r="Q743">
        <v>3054</v>
      </c>
      <c r="R743">
        <v>16000</v>
      </c>
      <c r="S743">
        <v>8522</v>
      </c>
      <c r="T743">
        <v>13929</v>
      </c>
      <c r="V743">
        <v>36</v>
      </c>
      <c r="W743">
        <v>105222</v>
      </c>
      <c r="X743">
        <v>146763</v>
      </c>
      <c r="Y743">
        <v>6927</v>
      </c>
      <c r="Z743">
        <v>18450</v>
      </c>
      <c r="AA743">
        <v>59435</v>
      </c>
      <c r="AB743">
        <v>0</v>
      </c>
      <c r="AC743">
        <v>146935</v>
      </c>
      <c r="AD743">
        <v>1741479</v>
      </c>
      <c r="AE743">
        <v>2535682</v>
      </c>
      <c r="AF743">
        <v>20107</v>
      </c>
      <c r="AG743" t="s">
        <v>144</v>
      </c>
      <c r="AH743" t="s">
        <v>145</v>
      </c>
      <c r="AI743" t="s">
        <v>144</v>
      </c>
      <c r="AJ743" t="s">
        <v>145</v>
      </c>
      <c r="AK743">
        <v>16196</v>
      </c>
      <c r="AL743" t="s">
        <v>53</v>
      </c>
      <c r="AM743">
        <v>3</v>
      </c>
      <c r="AN743">
        <v>3</v>
      </c>
      <c r="AO743">
        <v>2024</v>
      </c>
      <c r="AP743">
        <v>1</v>
      </c>
    </row>
    <row r="744" spans="1:42" x14ac:dyDescent="0.25">
      <c r="A744">
        <v>14190</v>
      </c>
      <c r="B744">
        <v>42531</v>
      </c>
      <c r="C744">
        <v>12344</v>
      </c>
      <c r="D744">
        <v>64421</v>
      </c>
      <c r="E744">
        <v>37784</v>
      </c>
      <c r="F744">
        <v>171270</v>
      </c>
      <c r="G744">
        <v>13992</v>
      </c>
      <c r="H744">
        <v>39483</v>
      </c>
      <c r="I744">
        <v>33341</v>
      </c>
      <c r="J744">
        <v>86816</v>
      </c>
      <c r="K744">
        <v>258086</v>
      </c>
      <c r="L744">
        <v>114022</v>
      </c>
      <c r="M744">
        <v>18123</v>
      </c>
      <c r="N744">
        <v>5</v>
      </c>
      <c r="O744">
        <v>15519</v>
      </c>
      <c r="P744">
        <v>147669</v>
      </c>
      <c r="Q744">
        <v>5708</v>
      </c>
      <c r="R744">
        <v>14837</v>
      </c>
      <c r="S744">
        <v>14297</v>
      </c>
      <c r="T744">
        <v>9950</v>
      </c>
      <c r="V744">
        <v>10</v>
      </c>
      <c r="W744">
        <v>123056</v>
      </c>
      <c r="X744">
        <v>167858</v>
      </c>
      <c r="Y744">
        <v>5754</v>
      </c>
      <c r="Z744">
        <v>20163</v>
      </c>
      <c r="AA744">
        <v>56786</v>
      </c>
      <c r="AB744">
        <v>0</v>
      </c>
      <c r="AC744">
        <v>163786</v>
      </c>
      <c r="AD744">
        <v>1879047</v>
      </c>
      <c r="AE744">
        <v>2699149</v>
      </c>
      <c r="AF744">
        <v>20107</v>
      </c>
      <c r="AG744" t="s">
        <v>144</v>
      </c>
      <c r="AH744" t="s">
        <v>145</v>
      </c>
      <c r="AI744" t="s">
        <v>144</v>
      </c>
      <c r="AJ744" t="s">
        <v>145</v>
      </c>
      <c r="AK744">
        <v>16196</v>
      </c>
      <c r="AL744" t="s">
        <v>53</v>
      </c>
      <c r="AM744">
        <v>3</v>
      </c>
      <c r="AN744">
        <v>3</v>
      </c>
      <c r="AO744">
        <v>2024</v>
      </c>
      <c r="AP744">
        <v>2</v>
      </c>
    </row>
    <row r="745" spans="1:42" x14ac:dyDescent="0.25">
      <c r="A745">
        <v>14651.43</v>
      </c>
      <c r="B745">
        <v>865738.53</v>
      </c>
      <c r="C745">
        <v>91322.06</v>
      </c>
      <c r="D745">
        <v>444758.22</v>
      </c>
      <c r="E745">
        <v>341478.51</v>
      </c>
      <c r="F745">
        <v>1757948.75</v>
      </c>
      <c r="G745">
        <v>142059.72</v>
      </c>
      <c r="H745">
        <v>449436.58</v>
      </c>
      <c r="I745">
        <v>156962.56</v>
      </c>
      <c r="J745">
        <v>748458.85</v>
      </c>
      <c r="K745">
        <v>2506407.6</v>
      </c>
      <c r="L745">
        <v>1313152.98</v>
      </c>
      <c r="M745">
        <v>122248.64</v>
      </c>
      <c r="N745">
        <v>146894.12</v>
      </c>
      <c r="O745">
        <v>51140.46</v>
      </c>
      <c r="P745">
        <v>1633436.2</v>
      </c>
      <c r="Q745">
        <v>38308.76</v>
      </c>
      <c r="R745">
        <v>14687.3</v>
      </c>
      <c r="S745">
        <v>14685.67</v>
      </c>
      <c r="T745">
        <v>356197.85</v>
      </c>
      <c r="U745">
        <v>84397.98</v>
      </c>
      <c r="V745">
        <v>-37.270000000000003</v>
      </c>
      <c r="W745">
        <v>747519.93</v>
      </c>
      <c r="X745">
        <v>1255760.21</v>
      </c>
      <c r="Y745">
        <v>205258.86</v>
      </c>
      <c r="Z745">
        <v>427902.75</v>
      </c>
      <c r="AA745">
        <v>357155.15</v>
      </c>
      <c r="AB745">
        <v>9757.14</v>
      </c>
      <c r="AC745">
        <v>81617.759999999995</v>
      </c>
      <c r="AD745">
        <v>1039975.25</v>
      </c>
      <c r="AE745">
        <v>7517270.9199999999</v>
      </c>
      <c r="AF745">
        <v>19977</v>
      </c>
      <c r="AG745" t="s">
        <v>142</v>
      </c>
      <c r="AH745" t="s">
        <v>143</v>
      </c>
      <c r="AI745" t="s">
        <v>142</v>
      </c>
      <c r="AJ745" t="s">
        <v>143</v>
      </c>
      <c r="AK745" t="s">
        <v>151</v>
      </c>
      <c r="AL745" t="s">
        <v>44</v>
      </c>
      <c r="AM745">
        <v>3</v>
      </c>
      <c r="AN745">
        <v>3</v>
      </c>
      <c r="AO745">
        <v>2024</v>
      </c>
      <c r="AP745">
        <v>1</v>
      </c>
    </row>
    <row r="746" spans="1:42" x14ac:dyDescent="0.25">
      <c r="A746">
        <v>15581.43</v>
      </c>
      <c r="B746">
        <v>220768.76</v>
      </c>
      <c r="C746">
        <v>24856.63</v>
      </c>
      <c r="D746">
        <v>3118.74</v>
      </c>
      <c r="E746">
        <v>19573.939999999999</v>
      </c>
      <c r="F746">
        <v>283899.49</v>
      </c>
      <c r="G746">
        <v>9767.66</v>
      </c>
      <c r="H746">
        <v>59097.34</v>
      </c>
      <c r="I746">
        <v>13178.04</v>
      </c>
      <c r="J746">
        <v>82043.03</v>
      </c>
      <c r="K746">
        <v>365942.52</v>
      </c>
      <c r="L746">
        <v>259434.98</v>
      </c>
      <c r="M746">
        <v>36832.870000000003</v>
      </c>
      <c r="N746">
        <v>5048.3999999999996</v>
      </c>
      <c r="O746">
        <v>3250.89</v>
      </c>
      <c r="P746">
        <v>304567.14</v>
      </c>
      <c r="Q746">
        <v>8166.19</v>
      </c>
      <c r="R746">
        <v>11094.51</v>
      </c>
      <c r="S746">
        <v>4827.7299999999996</v>
      </c>
      <c r="T746">
        <v>11486.37</v>
      </c>
      <c r="U746">
        <v>0</v>
      </c>
      <c r="V746">
        <v>0</v>
      </c>
      <c r="W746">
        <v>230855.46</v>
      </c>
      <c r="X746">
        <v>266430.25</v>
      </c>
      <c r="Y746">
        <v>33638.5</v>
      </c>
      <c r="Z746">
        <v>135733.29999999999</v>
      </c>
      <c r="AA746">
        <v>42210.720000000001</v>
      </c>
      <c r="AB746">
        <v>24755.61</v>
      </c>
      <c r="AC746">
        <v>264376.57</v>
      </c>
      <c r="AD746">
        <v>0</v>
      </c>
      <c r="AE746">
        <v>1437654.6</v>
      </c>
      <c r="AF746">
        <v>20416</v>
      </c>
      <c r="AG746" t="s">
        <v>128</v>
      </c>
      <c r="AH746" t="s">
        <v>129</v>
      </c>
      <c r="AI746" t="s">
        <v>128</v>
      </c>
      <c r="AJ746" t="s">
        <v>129</v>
      </c>
      <c r="AK746">
        <v>6830</v>
      </c>
      <c r="AL746" t="s">
        <v>44</v>
      </c>
      <c r="AM746">
        <v>3</v>
      </c>
      <c r="AN746">
        <v>3</v>
      </c>
      <c r="AO746">
        <v>2024</v>
      </c>
      <c r="AP746">
        <v>4</v>
      </c>
    </row>
    <row r="747" spans="1:42" x14ac:dyDescent="0.25">
      <c r="A747">
        <v>16930.02</v>
      </c>
      <c r="B747">
        <v>104514.98</v>
      </c>
      <c r="C747">
        <v>4377.22</v>
      </c>
      <c r="D747">
        <v>6227.73</v>
      </c>
      <c r="E747">
        <v>24071.26</v>
      </c>
      <c r="F747">
        <v>156121.20000000001</v>
      </c>
      <c r="G747">
        <v>56052.66</v>
      </c>
      <c r="H747">
        <v>28245.84</v>
      </c>
      <c r="I747">
        <v>10190.16</v>
      </c>
      <c r="J747">
        <v>94488.67</v>
      </c>
      <c r="K747">
        <v>250609.87</v>
      </c>
      <c r="L747">
        <v>285235.92</v>
      </c>
      <c r="M747">
        <v>25832.44</v>
      </c>
      <c r="N747">
        <v>420.77</v>
      </c>
      <c r="O747">
        <v>6152.54</v>
      </c>
      <c r="P747">
        <v>317641.65999999997</v>
      </c>
      <c r="Q747">
        <v>961.79</v>
      </c>
      <c r="R747">
        <v>19102.759999999998</v>
      </c>
      <c r="S747">
        <v>2974.72</v>
      </c>
      <c r="T747">
        <v>38070.519999999997</v>
      </c>
      <c r="U747">
        <v>3564.53</v>
      </c>
      <c r="V747">
        <v>1117.79</v>
      </c>
      <c r="W747">
        <v>48655.41</v>
      </c>
      <c r="X747">
        <v>114447.51</v>
      </c>
      <c r="Y747">
        <v>17355.84</v>
      </c>
      <c r="Z747">
        <v>42960.639999999999</v>
      </c>
      <c r="AA747">
        <v>45549.69</v>
      </c>
      <c r="AB747">
        <v>0</v>
      </c>
      <c r="AC747">
        <v>10312.39</v>
      </c>
      <c r="AD747">
        <v>245.9</v>
      </c>
      <c r="AE747">
        <v>799123.49</v>
      </c>
      <c r="AF747">
        <v>20007</v>
      </c>
      <c r="AG747" t="s">
        <v>140</v>
      </c>
      <c r="AH747" t="s">
        <v>141</v>
      </c>
      <c r="AI747" t="s">
        <v>140</v>
      </c>
      <c r="AJ747" t="s">
        <v>141</v>
      </c>
      <c r="AK747">
        <v>16087</v>
      </c>
      <c r="AL747" t="s">
        <v>47</v>
      </c>
      <c r="AM747">
        <v>3</v>
      </c>
      <c r="AN747">
        <v>3</v>
      </c>
      <c r="AO747">
        <v>2024</v>
      </c>
      <c r="AP747">
        <v>2</v>
      </c>
    </row>
    <row r="748" spans="1:42" x14ac:dyDescent="0.25">
      <c r="A748">
        <v>17661.41</v>
      </c>
      <c r="B748">
        <v>870159.95</v>
      </c>
      <c r="C748">
        <v>90201.45</v>
      </c>
      <c r="D748">
        <v>446144.32</v>
      </c>
      <c r="E748">
        <v>435909.57</v>
      </c>
      <c r="F748">
        <v>1860076.7</v>
      </c>
      <c r="G748">
        <v>145027.26</v>
      </c>
      <c r="H748">
        <v>436266.1</v>
      </c>
      <c r="I748">
        <v>111056.09</v>
      </c>
      <c r="J748">
        <v>692349.43999999994</v>
      </c>
      <c r="K748">
        <v>2552426.14</v>
      </c>
      <c r="L748">
        <v>1351861.65</v>
      </c>
      <c r="M748">
        <v>98207.76</v>
      </c>
      <c r="N748">
        <v>162824.22</v>
      </c>
      <c r="O748">
        <v>50942.36</v>
      </c>
      <c r="P748">
        <v>1663835.99</v>
      </c>
      <c r="Q748">
        <v>26895.360000000001</v>
      </c>
      <c r="R748">
        <v>17546</v>
      </c>
      <c r="S748">
        <v>14670.72</v>
      </c>
      <c r="T748">
        <v>351133.57</v>
      </c>
      <c r="U748">
        <v>114472.74</v>
      </c>
      <c r="V748">
        <v>-61.3</v>
      </c>
      <c r="W748">
        <v>747814.38</v>
      </c>
      <c r="X748">
        <v>1272471.47</v>
      </c>
      <c r="Y748">
        <v>223087.2</v>
      </c>
      <c r="Z748">
        <v>443153.32</v>
      </c>
      <c r="AA748">
        <v>349664.62</v>
      </c>
      <c r="AB748">
        <v>11400.94</v>
      </c>
      <c r="AC748">
        <v>80788.45</v>
      </c>
      <c r="AD748">
        <v>1107883.46</v>
      </c>
      <c r="AE748">
        <v>7704711.5800000001</v>
      </c>
      <c r="AF748">
        <v>19977</v>
      </c>
      <c r="AG748" t="s">
        <v>142</v>
      </c>
      <c r="AH748" t="s">
        <v>143</v>
      </c>
      <c r="AI748" t="s">
        <v>142</v>
      </c>
      <c r="AJ748" t="s">
        <v>143</v>
      </c>
      <c r="AK748" t="s">
        <v>151</v>
      </c>
      <c r="AL748" t="s">
        <v>44</v>
      </c>
      <c r="AM748">
        <v>3</v>
      </c>
      <c r="AN748">
        <v>3</v>
      </c>
      <c r="AO748">
        <v>2024</v>
      </c>
      <c r="AP748">
        <v>2</v>
      </c>
    </row>
    <row r="749" spans="1:42" x14ac:dyDescent="0.25">
      <c r="A749">
        <v>18573</v>
      </c>
      <c r="B749">
        <v>82516</v>
      </c>
      <c r="C749">
        <v>32465</v>
      </c>
      <c r="D749">
        <v>46475</v>
      </c>
      <c r="E749">
        <v>58254</v>
      </c>
      <c r="F749">
        <v>238283</v>
      </c>
      <c r="G749">
        <v>25142</v>
      </c>
      <c r="H749">
        <v>19023</v>
      </c>
      <c r="I749">
        <v>30506</v>
      </c>
      <c r="J749">
        <v>74671</v>
      </c>
      <c r="K749">
        <v>312954</v>
      </c>
      <c r="L749">
        <v>215896</v>
      </c>
      <c r="M749">
        <v>44676</v>
      </c>
      <c r="N749">
        <v>25</v>
      </c>
      <c r="O749">
        <v>13969</v>
      </c>
      <c r="P749">
        <v>274566</v>
      </c>
      <c r="Q749">
        <v>2968</v>
      </c>
      <c r="R749">
        <v>12323</v>
      </c>
      <c r="S749">
        <v>11215</v>
      </c>
      <c r="T749">
        <v>22975</v>
      </c>
      <c r="V749">
        <v>145</v>
      </c>
      <c r="W749">
        <v>138103</v>
      </c>
      <c r="X749">
        <v>187729</v>
      </c>
      <c r="Y749">
        <v>15320</v>
      </c>
      <c r="Z749">
        <v>28880</v>
      </c>
      <c r="AA749">
        <v>80776</v>
      </c>
      <c r="AB749">
        <v>0</v>
      </c>
      <c r="AC749">
        <v>97486</v>
      </c>
      <c r="AD749">
        <v>615044</v>
      </c>
      <c r="AE749">
        <v>1612755</v>
      </c>
      <c r="AF749">
        <v>20107</v>
      </c>
      <c r="AG749" t="s">
        <v>144</v>
      </c>
      <c r="AH749" t="s">
        <v>145</v>
      </c>
      <c r="AI749" t="s">
        <v>144</v>
      </c>
      <c r="AJ749" t="s">
        <v>145</v>
      </c>
      <c r="AK749">
        <v>16197</v>
      </c>
      <c r="AL749" t="s">
        <v>64</v>
      </c>
      <c r="AM749">
        <v>3</v>
      </c>
      <c r="AN749">
        <v>3</v>
      </c>
      <c r="AO749">
        <v>2024</v>
      </c>
      <c r="AP749">
        <v>1</v>
      </c>
    </row>
    <row r="750" spans="1:42" x14ac:dyDescent="0.25">
      <c r="A750">
        <v>18843</v>
      </c>
      <c r="B750">
        <v>83942</v>
      </c>
      <c r="C750">
        <v>34872</v>
      </c>
      <c r="D750">
        <v>46122</v>
      </c>
      <c r="E750">
        <v>52233</v>
      </c>
      <c r="F750">
        <v>236012</v>
      </c>
      <c r="G750">
        <v>25755</v>
      </c>
      <c r="H750">
        <v>40836</v>
      </c>
      <c r="I750">
        <v>26447</v>
      </c>
      <c r="J750">
        <v>93038</v>
      </c>
      <c r="K750">
        <v>329050</v>
      </c>
      <c r="L750">
        <v>221171</v>
      </c>
      <c r="M750">
        <v>43935</v>
      </c>
      <c r="N750">
        <v>6</v>
      </c>
      <c r="O750">
        <v>13812</v>
      </c>
      <c r="P750">
        <v>278924</v>
      </c>
      <c r="Q750">
        <v>2670</v>
      </c>
      <c r="R750">
        <v>11397</v>
      </c>
      <c r="S750">
        <v>18161</v>
      </c>
      <c r="T750">
        <v>17799</v>
      </c>
      <c r="V750">
        <v>82</v>
      </c>
      <c r="W750">
        <v>152551</v>
      </c>
      <c r="X750">
        <v>202660</v>
      </c>
      <c r="Y750">
        <v>15324</v>
      </c>
      <c r="Z750">
        <v>29753</v>
      </c>
      <c r="AA750">
        <v>81216</v>
      </c>
      <c r="AB750">
        <v>0</v>
      </c>
      <c r="AC750">
        <v>99911</v>
      </c>
      <c r="AD750">
        <v>639757</v>
      </c>
      <c r="AE750">
        <v>1676595</v>
      </c>
      <c r="AF750">
        <v>20107</v>
      </c>
      <c r="AG750" t="s">
        <v>144</v>
      </c>
      <c r="AH750" t="s">
        <v>145</v>
      </c>
      <c r="AI750" t="s">
        <v>144</v>
      </c>
      <c r="AJ750" t="s">
        <v>145</v>
      </c>
      <c r="AK750">
        <v>16197</v>
      </c>
      <c r="AL750" t="s">
        <v>64</v>
      </c>
      <c r="AM750">
        <v>3</v>
      </c>
      <c r="AN750">
        <v>3</v>
      </c>
      <c r="AO750">
        <v>2024</v>
      </c>
      <c r="AP750">
        <v>2</v>
      </c>
    </row>
    <row r="751" spans="1:42" x14ac:dyDescent="0.25">
      <c r="A751">
        <v>19342.669999999998</v>
      </c>
      <c r="B751">
        <v>218211.23</v>
      </c>
      <c r="C751">
        <v>32928.839999999997</v>
      </c>
      <c r="D751">
        <v>4167</v>
      </c>
      <c r="E751">
        <v>0</v>
      </c>
      <c r="F751">
        <v>274649.74</v>
      </c>
      <c r="G751">
        <v>46994.2</v>
      </c>
      <c r="H751">
        <v>44115.29</v>
      </c>
      <c r="I751">
        <v>20605.07</v>
      </c>
      <c r="J751">
        <v>111714.56</v>
      </c>
      <c r="K751">
        <v>386364.29</v>
      </c>
      <c r="L751">
        <v>20476.689999999999</v>
      </c>
      <c r="M751">
        <v>78090.39</v>
      </c>
      <c r="N751">
        <v>48.23</v>
      </c>
      <c r="O751">
        <v>8314.0300000000007</v>
      </c>
      <c r="P751">
        <v>106929.35</v>
      </c>
      <c r="Q751">
        <v>243.49</v>
      </c>
      <c r="R751">
        <v>0</v>
      </c>
      <c r="S751">
        <v>3857.1</v>
      </c>
      <c r="T751">
        <v>80709.98</v>
      </c>
      <c r="U751">
        <v>0</v>
      </c>
      <c r="V751">
        <v>0</v>
      </c>
      <c r="W751">
        <v>6426.01</v>
      </c>
      <c r="X751">
        <v>91236.59</v>
      </c>
      <c r="Y751">
        <v>2771.73</v>
      </c>
      <c r="Z751">
        <v>5842.89</v>
      </c>
      <c r="AA751">
        <v>35836.160000000003</v>
      </c>
      <c r="AB751">
        <v>904.4</v>
      </c>
      <c r="AC751">
        <v>32329.4</v>
      </c>
      <c r="AD751">
        <v>0</v>
      </c>
      <c r="AE751">
        <v>662214.79</v>
      </c>
      <c r="AF751">
        <v>20304</v>
      </c>
      <c r="AG751" t="s">
        <v>103</v>
      </c>
      <c r="AH751" t="s">
        <v>104</v>
      </c>
      <c r="AI751" t="s">
        <v>103</v>
      </c>
      <c r="AJ751" t="s">
        <v>104</v>
      </c>
      <c r="AK751">
        <v>6700</v>
      </c>
      <c r="AL751" t="s">
        <v>44</v>
      </c>
      <c r="AM751">
        <v>3</v>
      </c>
      <c r="AN751">
        <v>3</v>
      </c>
      <c r="AO751">
        <v>2024</v>
      </c>
      <c r="AP751">
        <v>2</v>
      </c>
    </row>
    <row r="752" spans="1:42" x14ac:dyDescent="0.25">
      <c r="A752">
        <v>19537.439999999999</v>
      </c>
      <c r="B752">
        <v>213122.61</v>
      </c>
      <c r="C752">
        <v>33016.31</v>
      </c>
      <c r="D752">
        <v>4475</v>
      </c>
      <c r="E752">
        <v>0</v>
      </c>
      <c r="F752">
        <v>270151.36</v>
      </c>
      <c r="G752">
        <v>47325.05</v>
      </c>
      <c r="H752">
        <v>43107.96</v>
      </c>
      <c r="I752">
        <v>23099.84</v>
      </c>
      <c r="J752">
        <v>113532.84</v>
      </c>
      <c r="K752">
        <v>383684.21</v>
      </c>
      <c r="L752">
        <v>19588.32</v>
      </c>
      <c r="M752">
        <v>63169.760000000002</v>
      </c>
      <c r="N752">
        <v>99.44</v>
      </c>
      <c r="O752">
        <v>8571.81</v>
      </c>
      <c r="P752">
        <v>91429.32</v>
      </c>
      <c r="Q752">
        <v>201.14</v>
      </c>
      <c r="R752">
        <v>0</v>
      </c>
      <c r="S752">
        <v>3519.43</v>
      </c>
      <c r="T752">
        <v>63584.480000000003</v>
      </c>
      <c r="U752">
        <v>0</v>
      </c>
      <c r="V752">
        <v>0</v>
      </c>
      <c r="W752">
        <v>7102.77</v>
      </c>
      <c r="X752">
        <v>74407.83</v>
      </c>
      <c r="Y752">
        <v>2212.27</v>
      </c>
      <c r="Z752">
        <v>5633.01</v>
      </c>
      <c r="AA752">
        <v>34894.89</v>
      </c>
      <c r="AB752">
        <v>916.75</v>
      </c>
      <c r="AC752">
        <v>33708.449999999997</v>
      </c>
      <c r="AD752">
        <v>0</v>
      </c>
      <c r="AE752">
        <v>626886.72</v>
      </c>
      <c r="AF752">
        <v>20304</v>
      </c>
      <c r="AG752" t="s">
        <v>103</v>
      </c>
      <c r="AH752" t="s">
        <v>104</v>
      </c>
      <c r="AI752" t="s">
        <v>103</v>
      </c>
      <c r="AJ752" t="s">
        <v>104</v>
      </c>
      <c r="AK752">
        <v>6700</v>
      </c>
      <c r="AL752" t="s">
        <v>44</v>
      </c>
      <c r="AM752">
        <v>3</v>
      </c>
      <c r="AN752">
        <v>3</v>
      </c>
      <c r="AO752">
        <v>2024</v>
      </c>
      <c r="AP752">
        <v>1</v>
      </c>
    </row>
    <row r="753" spans="1:42" x14ac:dyDescent="0.25">
      <c r="A753">
        <v>19546</v>
      </c>
      <c r="B753">
        <v>40630</v>
      </c>
      <c r="C753">
        <v>10437</v>
      </c>
      <c r="D753">
        <v>95116</v>
      </c>
      <c r="E753">
        <v>44517</v>
      </c>
      <c r="F753">
        <v>210246</v>
      </c>
      <c r="G753">
        <v>14682</v>
      </c>
      <c r="H753">
        <v>29644</v>
      </c>
      <c r="I753">
        <v>36506</v>
      </c>
      <c r="J753">
        <v>80832</v>
      </c>
      <c r="K753">
        <v>291078</v>
      </c>
      <c r="L753">
        <v>108212</v>
      </c>
      <c r="M753">
        <v>23411</v>
      </c>
      <c r="N753">
        <v>12</v>
      </c>
      <c r="O753">
        <v>14180</v>
      </c>
      <c r="P753">
        <v>145815</v>
      </c>
      <c r="Q753">
        <v>1509</v>
      </c>
      <c r="R753">
        <v>15205</v>
      </c>
      <c r="S753">
        <v>3308</v>
      </c>
      <c r="T753">
        <v>12805</v>
      </c>
      <c r="V753">
        <v>8</v>
      </c>
      <c r="W753">
        <v>155544</v>
      </c>
      <c r="X753">
        <v>188379</v>
      </c>
      <c r="Y753">
        <v>7761</v>
      </c>
      <c r="Z753">
        <v>22718</v>
      </c>
      <c r="AA753">
        <v>94849</v>
      </c>
      <c r="AB753">
        <v>0</v>
      </c>
      <c r="AC753">
        <v>111292</v>
      </c>
      <c r="AD753">
        <v>1891785</v>
      </c>
      <c r="AE753">
        <v>2753677</v>
      </c>
      <c r="AF753">
        <v>20107</v>
      </c>
      <c r="AG753" t="s">
        <v>144</v>
      </c>
      <c r="AH753" t="s">
        <v>145</v>
      </c>
      <c r="AI753" t="s">
        <v>144</v>
      </c>
      <c r="AJ753" t="s">
        <v>145</v>
      </c>
      <c r="AK753">
        <v>16196</v>
      </c>
      <c r="AL753" t="s">
        <v>53</v>
      </c>
      <c r="AM753">
        <v>3</v>
      </c>
      <c r="AN753">
        <v>3</v>
      </c>
      <c r="AO753">
        <v>2024</v>
      </c>
      <c r="AP753">
        <v>3</v>
      </c>
    </row>
    <row r="754" spans="1:42" x14ac:dyDescent="0.25">
      <c r="A754">
        <v>20586.96</v>
      </c>
      <c r="B754">
        <v>232917.42</v>
      </c>
      <c r="C754">
        <v>34282.120000000003</v>
      </c>
      <c r="D754">
        <v>4599.4399999999996</v>
      </c>
      <c r="E754">
        <v>0</v>
      </c>
      <c r="F754">
        <v>292385.94</v>
      </c>
      <c r="G754">
        <v>53258.04</v>
      </c>
      <c r="H754">
        <v>49070.92</v>
      </c>
      <c r="I754">
        <v>19427.060000000001</v>
      </c>
      <c r="J754">
        <v>121756.02</v>
      </c>
      <c r="K754">
        <v>414141.96</v>
      </c>
      <c r="L754">
        <v>21507.32</v>
      </c>
      <c r="M754">
        <v>75023.89</v>
      </c>
      <c r="N754">
        <v>105.82</v>
      </c>
      <c r="O754">
        <v>9260.8700000000008</v>
      </c>
      <c r="P754">
        <v>105897.91</v>
      </c>
      <c r="Q754">
        <v>140.77000000000001</v>
      </c>
      <c r="R754">
        <v>0</v>
      </c>
      <c r="S754">
        <v>3972.29</v>
      </c>
      <c r="T754">
        <v>81886.28</v>
      </c>
      <c r="U754">
        <v>0</v>
      </c>
      <c r="V754">
        <v>0</v>
      </c>
      <c r="W754">
        <v>9242.65</v>
      </c>
      <c r="X754">
        <v>95242</v>
      </c>
      <c r="Y754">
        <v>2801.48</v>
      </c>
      <c r="Z754">
        <v>5653.39</v>
      </c>
      <c r="AA754">
        <v>35931.03</v>
      </c>
      <c r="AB754">
        <v>892.19</v>
      </c>
      <c r="AC754">
        <v>36002.35</v>
      </c>
      <c r="AD754">
        <v>0</v>
      </c>
      <c r="AE754">
        <v>696562.3</v>
      </c>
      <c r="AF754">
        <v>20304</v>
      </c>
      <c r="AG754" t="s">
        <v>103</v>
      </c>
      <c r="AH754" t="s">
        <v>104</v>
      </c>
      <c r="AI754" t="s">
        <v>103</v>
      </c>
      <c r="AJ754" t="s">
        <v>104</v>
      </c>
      <c r="AK754">
        <v>6700</v>
      </c>
      <c r="AL754" t="s">
        <v>44</v>
      </c>
      <c r="AM754">
        <v>3</v>
      </c>
      <c r="AN754">
        <v>3</v>
      </c>
      <c r="AO754">
        <v>2024</v>
      </c>
      <c r="AP754">
        <v>3</v>
      </c>
    </row>
    <row r="755" spans="1:42" x14ac:dyDescent="0.25">
      <c r="A755">
        <v>20744</v>
      </c>
      <c r="B755">
        <v>83730</v>
      </c>
      <c r="C755">
        <v>33330</v>
      </c>
      <c r="D755">
        <v>45927</v>
      </c>
      <c r="E755">
        <v>55981</v>
      </c>
      <c r="F755">
        <v>239712</v>
      </c>
      <c r="G755">
        <v>27778</v>
      </c>
      <c r="H755">
        <v>29219</v>
      </c>
      <c r="I755">
        <v>20710</v>
      </c>
      <c r="J755">
        <v>77707</v>
      </c>
      <c r="K755">
        <v>317419</v>
      </c>
      <c r="L755">
        <v>218814</v>
      </c>
      <c r="M755">
        <v>53262</v>
      </c>
      <c r="N755">
        <v>14</v>
      </c>
      <c r="O755">
        <v>9281</v>
      </c>
      <c r="P755">
        <v>281371</v>
      </c>
      <c r="Q755">
        <v>1375</v>
      </c>
      <c r="R755">
        <v>12087</v>
      </c>
      <c r="S755">
        <v>2163</v>
      </c>
      <c r="T755">
        <v>24436</v>
      </c>
      <c r="V755">
        <v>30</v>
      </c>
      <c r="W755">
        <v>172143</v>
      </c>
      <c r="X755">
        <v>212234</v>
      </c>
      <c r="Y755">
        <v>16121</v>
      </c>
      <c r="Z755">
        <v>27506</v>
      </c>
      <c r="AA755">
        <v>111256</v>
      </c>
      <c r="AB755">
        <v>0</v>
      </c>
      <c r="AC755">
        <v>34292</v>
      </c>
      <c r="AD755">
        <v>673228</v>
      </c>
      <c r="AE755">
        <v>1673427</v>
      </c>
      <c r="AF755">
        <v>20107</v>
      </c>
      <c r="AG755" t="s">
        <v>144</v>
      </c>
      <c r="AH755" t="s">
        <v>145</v>
      </c>
      <c r="AI755" t="s">
        <v>144</v>
      </c>
      <c r="AJ755" t="s">
        <v>145</v>
      </c>
      <c r="AK755">
        <v>16197</v>
      </c>
      <c r="AL755" t="s">
        <v>64</v>
      </c>
      <c r="AM755">
        <v>3</v>
      </c>
      <c r="AN755">
        <v>3</v>
      </c>
      <c r="AO755">
        <v>2024</v>
      </c>
      <c r="AP755">
        <v>3</v>
      </c>
    </row>
    <row r="756" spans="1:42" x14ac:dyDescent="0.25">
      <c r="A756">
        <v>21110.36</v>
      </c>
      <c r="B756">
        <v>236136.71</v>
      </c>
      <c r="C756">
        <v>36059.94</v>
      </c>
      <c r="D756">
        <v>4793.28</v>
      </c>
      <c r="E756">
        <v>0</v>
      </c>
      <c r="F756">
        <v>298100.28999999998</v>
      </c>
      <c r="G756">
        <v>50405.4</v>
      </c>
      <c r="H756">
        <v>46582.03</v>
      </c>
      <c r="I756">
        <v>19224.599999999999</v>
      </c>
      <c r="J756">
        <v>116212.03</v>
      </c>
      <c r="K756">
        <v>414312.31</v>
      </c>
      <c r="L756">
        <v>20661.98</v>
      </c>
      <c r="M756">
        <v>85491.87</v>
      </c>
      <c r="N756">
        <v>99.59</v>
      </c>
      <c r="O756">
        <v>10666.9</v>
      </c>
      <c r="P756">
        <v>116920.34</v>
      </c>
      <c r="Q756">
        <v>111.58</v>
      </c>
      <c r="R756">
        <v>0</v>
      </c>
      <c r="S756">
        <v>4004.31</v>
      </c>
      <c r="T756">
        <v>88771.3</v>
      </c>
      <c r="U756">
        <v>0</v>
      </c>
      <c r="V756">
        <v>0</v>
      </c>
      <c r="W756">
        <v>8604.76</v>
      </c>
      <c r="X756">
        <v>101491.95</v>
      </c>
      <c r="Y756">
        <v>2872.15</v>
      </c>
      <c r="Z756">
        <v>6897.17</v>
      </c>
      <c r="AA756">
        <v>33596.21</v>
      </c>
      <c r="AB756">
        <v>873.18</v>
      </c>
      <c r="AC756">
        <v>37575.35</v>
      </c>
      <c r="AD756">
        <v>0</v>
      </c>
      <c r="AE756">
        <v>714538.67</v>
      </c>
      <c r="AF756">
        <v>20304</v>
      </c>
      <c r="AG756" t="s">
        <v>103</v>
      </c>
      <c r="AH756" t="s">
        <v>104</v>
      </c>
      <c r="AI756" t="s">
        <v>103</v>
      </c>
      <c r="AJ756" t="s">
        <v>104</v>
      </c>
      <c r="AK756">
        <v>6700</v>
      </c>
      <c r="AL756" t="s">
        <v>44</v>
      </c>
      <c r="AM756">
        <v>3</v>
      </c>
      <c r="AN756">
        <v>3</v>
      </c>
      <c r="AO756">
        <v>2024</v>
      </c>
      <c r="AP756">
        <v>4</v>
      </c>
    </row>
    <row r="757" spans="1:42" x14ac:dyDescent="0.25">
      <c r="A757">
        <v>21357</v>
      </c>
      <c r="B757">
        <v>47702</v>
      </c>
      <c r="C757">
        <v>12109</v>
      </c>
      <c r="D757">
        <v>113881</v>
      </c>
      <c r="E757">
        <v>41497</v>
      </c>
      <c r="F757">
        <v>236546</v>
      </c>
      <c r="G757">
        <v>16636</v>
      </c>
      <c r="H757">
        <v>26982</v>
      </c>
      <c r="I757">
        <v>36303</v>
      </c>
      <c r="J757">
        <v>79921</v>
      </c>
      <c r="K757">
        <v>316467</v>
      </c>
      <c r="L757">
        <v>111663</v>
      </c>
      <c r="M757">
        <v>24170</v>
      </c>
      <c r="N757">
        <v>-12</v>
      </c>
      <c r="O757">
        <v>13109</v>
      </c>
      <c r="P757">
        <v>148930</v>
      </c>
      <c r="Q757">
        <v>1958</v>
      </c>
      <c r="R757">
        <v>18192</v>
      </c>
      <c r="S757">
        <v>3235</v>
      </c>
      <c r="T757">
        <v>9610</v>
      </c>
      <c r="V757">
        <v>7</v>
      </c>
      <c r="W757">
        <v>136767</v>
      </c>
      <c r="X757">
        <v>169769</v>
      </c>
      <c r="Y757">
        <v>7812</v>
      </c>
      <c r="Z757">
        <v>24313</v>
      </c>
      <c r="AA757">
        <v>94178</v>
      </c>
      <c r="AB757">
        <v>0</v>
      </c>
      <c r="AC757">
        <v>98967</v>
      </c>
      <c r="AD757">
        <v>2078583</v>
      </c>
      <c r="AE757">
        <v>2939019</v>
      </c>
      <c r="AF757">
        <v>20107</v>
      </c>
      <c r="AG757" t="s">
        <v>144</v>
      </c>
      <c r="AH757" t="s">
        <v>145</v>
      </c>
      <c r="AI757" t="s">
        <v>144</v>
      </c>
      <c r="AJ757" t="s">
        <v>145</v>
      </c>
      <c r="AK757">
        <v>16196</v>
      </c>
      <c r="AL757" t="s">
        <v>53</v>
      </c>
      <c r="AM757">
        <v>3</v>
      </c>
      <c r="AN757">
        <v>3</v>
      </c>
      <c r="AO757">
        <v>2024</v>
      </c>
      <c r="AP757">
        <v>4</v>
      </c>
    </row>
    <row r="758" spans="1:42" x14ac:dyDescent="0.25">
      <c r="A758">
        <v>22900.84</v>
      </c>
      <c r="B758">
        <v>899140.89</v>
      </c>
      <c r="C758">
        <v>93772.19</v>
      </c>
      <c r="D758">
        <v>464009.88</v>
      </c>
      <c r="E758">
        <v>503600.73</v>
      </c>
      <c r="F758">
        <v>1983424.54</v>
      </c>
      <c r="G758">
        <v>152021.32999999999</v>
      </c>
      <c r="H758">
        <v>462930.84</v>
      </c>
      <c r="I758">
        <v>105574.09</v>
      </c>
      <c r="J758">
        <v>720526.26</v>
      </c>
      <c r="K758">
        <v>2703950.8</v>
      </c>
      <c r="L758">
        <v>1273990.32</v>
      </c>
      <c r="M758">
        <v>119561.26</v>
      </c>
      <c r="N758">
        <v>170583.93</v>
      </c>
      <c r="O758">
        <v>49906.16</v>
      </c>
      <c r="P758">
        <v>1614041.67</v>
      </c>
      <c r="Q758">
        <v>29362.91</v>
      </c>
      <c r="R758">
        <v>17461.240000000002</v>
      </c>
      <c r="S758">
        <v>16015.49</v>
      </c>
      <c r="T758">
        <v>324933.37</v>
      </c>
      <c r="U758">
        <v>102694.87</v>
      </c>
      <c r="V758">
        <v>-5.81</v>
      </c>
      <c r="W758">
        <v>751827.22</v>
      </c>
      <c r="X758">
        <v>1242289.29</v>
      </c>
      <c r="Y758">
        <v>237601.73</v>
      </c>
      <c r="Z758">
        <v>447076.58</v>
      </c>
      <c r="AA758">
        <v>354609.22</v>
      </c>
      <c r="AB758">
        <v>19286.05</v>
      </c>
      <c r="AC758">
        <v>69406.66</v>
      </c>
      <c r="AD758">
        <v>1138731.02</v>
      </c>
      <c r="AE758">
        <v>7826993.0099999998</v>
      </c>
      <c r="AF758">
        <v>19977</v>
      </c>
      <c r="AG758" t="s">
        <v>142</v>
      </c>
      <c r="AH758" t="s">
        <v>143</v>
      </c>
      <c r="AI758" t="s">
        <v>142</v>
      </c>
      <c r="AJ758" t="s">
        <v>143</v>
      </c>
      <c r="AK758" t="s">
        <v>151</v>
      </c>
      <c r="AL758" t="s">
        <v>44</v>
      </c>
      <c r="AM758">
        <v>3</v>
      </c>
      <c r="AN758">
        <v>3</v>
      </c>
      <c r="AO758">
        <v>2024</v>
      </c>
      <c r="AP758">
        <v>3</v>
      </c>
    </row>
    <row r="759" spans="1:42" x14ac:dyDescent="0.25">
      <c r="A759">
        <v>23412</v>
      </c>
      <c r="B759">
        <v>91814</v>
      </c>
      <c r="C759">
        <v>38628</v>
      </c>
      <c r="D759">
        <v>47202</v>
      </c>
      <c r="E759">
        <v>56436</v>
      </c>
      <c r="F759">
        <v>257492</v>
      </c>
      <c r="G759">
        <v>30760</v>
      </c>
      <c r="H759">
        <v>26017</v>
      </c>
      <c r="I759">
        <v>19536</v>
      </c>
      <c r="J759">
        <v>76313</v>
      </c>
      <c r="K759">
        <v>333805</v>
      </c>
      <c r="L759">
        <v>215973</v>
      </c>
      <c r="M759">
        <v>57390</v>
      </c>
      <c r="N759">
        <v>-13</v>
      </c>
      <c r="O759">
        <v>9390</v>
      </c>
      <c r="P759">
        <v>282740</v>
      </c>
      <c r="Q759">
        <v>1956</v>
      </c>
      <c r="R759">
        <v>12641</v>
      </c>
      <c r="S759">
        <v>2628</v>
      </c>
      <c r="T759">
        <v>17605</v>
      </c>
      <c r="V759">
        <v>212</v>
      </c>
      <c r="W759">
        <v>173956</v>
      </c>
      <c r="X759">
        <v>208998</v>
      </c>
      <c r="Y759">
        <v>16409</v>
      </c>
      <c r="Z759">
        <v>27270</v>
      </c>
      <c r="AA759">
        <v>112563</v>
      </c>
      <c r="AB759">
        <v>0</v>
      </c>
      <c r="AC759">
        <v>23774</v>
      </c>
      <c r="AD759">
        <v>697444</v>
      </c>
      <c r="AE759">
        <v>1703003</v>
      </c>
      <c r="AF759">
        <v>20107</v>
      </c>
      <c r="AG759" t="s">
        <v>144</v>
      </c>
      <c r="AH759" t="s">
        <v>145</v>
      </c>
      <c r="AI759" t="s">
        <v>144</v>
      </c>
      <c r="AJ759" t="s">
        <v>145</v>
      </c>
      <c r="AK759">
        <v>16197</v>
      </c>
      <c r="AL759" t="s">
        <v>64</v>
      </c>
      <c r="AM759">
        <v>3</v>
      </c>
      <c r="AN759">
        <v>3</v>
      </c>
      <c r="AO759">
        <v>2024</v>
      </c>
      <c r="AP759">
        <v>4</v>
      </c>
    </row>
    <row r="760" spans="1:42" x14ac:dyDescent="0.25">
      <c r="A760">
        <v>24546</v>
      </c>
      <c r="B760">
        <v>908844.36</v>
      </c>
      <c r="C760">
        <v>106544.8</v>
      </c>
      <c r="D760">
        <v>464249.17</v>
      </c>
      <c r="E760">
        <v>538341.04</v>
      </c>
      <c r="F760">
        <v>2042525.36</v>
      </c>
      <c r="G760">
        <v>144669.15</v>
      </c>
      <c r="H760">
        <v>466914.96</v>
      </c>
      <c r="I760">
        <v>96061.82</v>
      </c>
      <c r="J760">
        <v>707645.93</v>
      </c>
      <c r="K760">
        <v>2750171.29</v>
      </c>
      <c r="L760">
        <v>1196333.6100000001</v>
      </c>
      <c r="M760">
        <v>141006.22</v>
      </c>
      <c r="N760">
        <v>174031.09</v>
      </c>
      <c r="O760">
        <v>52273.56</v>
      </c>
      <c r="P760">
        <v>1563644.48</v>
      </c>
      <c r="Q760">
        <v>40053.760000000002</v>
      </c>
      <c r="R760">
        <v>17978.439999999999</v>
      </c>
      <c r="S760">
        <v>15389.37</v>
      </c>
      <c r="T760">
        <v>410166.02</v>
      </c>
      <c r="U760">
        <v>96143.54</v>
      </c>
      <c r="V760">
        <v>-23.72</v>
      </c>
      <c r="W760">
        <v>843670</v>
      </c>
      <c r="X760">
        <v>1423377.42</v>
      </c>
      <c r="Y760">
        <v>240796.95</v>
      </c>
      <c r="Z760">
        <v>475258.66</v>
      </c>
      <c r="AA760">
        <v>392639.35</v>
      </c>
      <c r="AB760">
        <v>12626.52</v>
      </c>
      <c r="AC760">
        <v>107156.11</v>
      </c>
      <c r="AD760">
        <v>1150074.1599999999</v>
      </c>
      <c r="AE760">
        <v>8115744.9400000004</v>
      </c>
      <c r="AF760">
        <v>19977</v>
      </c>
      <c r="AG760" t="s">
        <v>142</v>
      </c>
      <c r="AH760" t="s">
        <v>143</v>
      </c>
      <c r="AI760" t="s">
        <v>142</v>
      </c>
      <c r="AJ760" t="s">
        <v>143</v>
      </c>
      <c r="AK760" t="s">
        <v>151</v>
      </c>
      <c r="AL760" t="s">
        <v>44</v>
      </c>
      <c r="AM760">
        <v>3</v>
      </c>
      <c r="AN760">
        <v>3</v>
      </c>
      <c r="AO760">
        <v>2024</v>
      </c>
      <c r="AP760">
        <v>4</v>
      </c>
    </row>
    <row r="761" spans="1:42" x14ac:dyDescent="0.25">
      <c r="A761">
        <v>24825</v>
      </c>
      <c r="B761">
        <v>1179047</v>
      </c>
      <c r="C761">
        <v>170932</v>
      </c>
      <c r="D761">
        <v>394795</v>
      </c>
      <c r="E761">
        <v>570331</v>
      </c>
      <c r="F761">
        <v>2339930</v>
      </c>
      <c r="G761">
        <v>193347</v>
      </c>
      <c r="H761">
        <v>567464</v>
      </c>
      <c r="I761">
        <v>133164</v>
      </c>
      <c r="J761">
        <v>893975</v>
      </c>
      <c r="K761">
        <v>3233905</v>
      </c>
      <c r="L761">
        <v>1476728</v>
      </c>
      <c r="M761">
        <v>219758</v>
      </c>
      <c r="N761">
        <v>270925</v>
      </c>
      <c r="O761">
        <v>63737</v>
      </c>
      <c r="P761">
        <v>2031148</v>
      </c>
      <c r="Q761">
        <v>80599</v>
      </c>
      <c r="R761">
        <v>70622</v>
      </c>
      <c r="S761">
        <v>15479</v>
      </c>
      <c r="T761">
        <v>252866</v>
      </c>
      <c r="U761">
        <v>75945</v>
      </c>
      <c r="V761">
        <v>2173</v>
      </c>
      <c r="W761">
        <v>967860</v>
      </c>
      <c r="X761">
        <v>1465544</v>
      </c>
      <c r="Y761">
        <v>181421</v>
      </c>
      <c r="Z761">
        <v>456134</v>
      </c>
      <c r="AA761">
        <v>388529</v>
      </c>
      <c r="AB761">
        <v>71034</v>
      </c>
      <c r="AC761">
        <v>169871</v>
      </c>
      <c r="AD761">
        <v>1988240</v>
      </c>
      <c r="AE761">
        <v>9985826</v>
      </c>
      <c r="AF761">
        <v>19790</v>
      </c>
      <c r="AG761" t="s">
        <v>134</v>
      </c>
      <c r="AH761" t="s">
        <v>135</v>
      </c>
      <c r="AI761" t="s">
        <v>134</v>
      </c>
      <c r="AJ761" t="s">
        <v>135</v>
      </c>
      <c r="AK761">
        <v>1260</v>
      </c>
      <c r="AL761" t="s">
        <v>44</v>
      </c>
      <c r="AM761">
        <v>3</v>
      </c>
      <c r="AN761">
        <v>3</v>
      </c>
      <c r="AO761">
        <v>2024</v>
      </c>
      <c r="AP761">
        <v>3</v>
      </c>
    </row>
    <row r="762" spans="1:42" x14ac:dyDescent="0.25">
      <c r="A762">
        <v>24909</v>
      </c>
      <c r="B762">
        <v>1115841</v>
      </c>
      <c r="C762">
        <v>158226</v>
      </c>
      <c r="D762">
        <v>379562</v>
      </c>
      <c r="E762">
        <v>737449</v>
      </c>
      <c r="F762">
        <v>2415987</v>
      </c>
      <c r="G762">
        <v>188499</v>
      </c>
      <c r="H762">
        <v>548979</v>
      </c>
      <c r="I762">
        <v>129013</v>
      </c>
      <c r="J762">
        <v>866491</v>
      </c>
      <c r="K762">
        <v>3282478</v>
      </c>
      <c r="L762">
        <v>1524994</v>
      </c>
      <c r="M762">
        <v>208165</v>
      </c>
      <c r="N762">
        <v>275233</v>
      </c>
      <c r="O762">
        <v>65703</v>
      </c>
      <c r="P762">
        <v>2074095</v>
      </c>
      <c r="Q762">
        <v>76217</v>
      </c>
      <c r="R762">
        <v>73181</v>
      </c>
      <c r="S762">
        <v>18015</v>
      </c>
      <c r="T762">
        <v>315812</v>
      </c>
      <c r="U762">
        <v>95553</v>
      </c>
      <c r="V762">
        <v>2530</v>
      </c>
      <c r="W762">
        <v>962168</v>
      </c>
      <c r="X762">
        <v>1543476</v>
      </c>
      <c r="Y762">
        <v>180568</v>
      </c>
      <c r="Z762">
        <v>431551</v>
      </c>
      <c r="AA762">
        <v>366436</v>
      </c>
      <c r="AB762">
        <v>79091</v>
      </c>
      <c r="AC762">
        <v>90022</v>
      </c>
      <c r="AD762">
        <v>2194266</v>
      </c>
      <c r="AE762">
        <v>10241983</v>
      </c>
      <c r="AF762">
        <v>19790</v>
      </c>
      <c r="AG762" t="s">
        <v>134</v>
      </c>
      <c r="AH762" t="s">
        <v>135</v>
      </c>
      <c r="AI762" t="s">
        <v>134</v>
      </c>
      <c r="AJ762" t="s">
        <v>135</v>
      </c>
      <c r="AK762">
        <v>1260</v>
      </c>
      <c r="AL762" t="s">
        <v>44</v>
      </c>
      <c r="AM762">
        <v>3</v>
      </c>
      <c r="AN762">
        <v>3</v>
      </c>
      <c r="AO762">
        <v>2024</v>
      </c>
      <c r="AP762">
        <v>2</v>
      </c>
    </row>
    <row r="763" spans="1:42" x14ac:dyDescent="0.25">
      <c r="A763">
        <v>26466</v>
      </c>
      <c r="B763">
        <v>1058394</v>
      </c>
      <c r="C763">
        <v>154365</v>
      </c>
      <c r="D763">
        <v>388278</v>
      </c>
      <c r="E763">
        <v>482423</v>
      </c>
      <c r="F763">
        <v>2109926</v>
      </c>
      <c r="G763">
        <v>171882</v>
      </c>
      <c r="H763">
        <v>542253</v>
      </c>
      <c r="I763">
        <v>132189</v>
      </c>
      <c r="J763">
        <v>846324</v>
      </c>
      <c r="K763">
        <v>2956250</v>
      </c>
      <c r="L763">
        <v>1437388</v>
      </c>
      <c r="M763">
        <v>220595</v>
      </c>
      <c r="N763">
        <v>259895</v>
      </c>
      <c r="O763">
        <v>88984</v>
      </c>
      <c r="P763">
        <v>2006862</v>
      </c>
      <c r="Q763">
        <v>67043</v>
      </c>
      <c r="R763">
        <v>68074</v>
      </c>
      <c r="S763">
        <v>14996</v>
      </c>
      <c r="T763">
        <v>298233</v>
      </c>
      <c r="U763">
        <v>88054</v>
      </c>
      <c r="V763">
        <v>2189</v>
      </c>
      <c r="W763">
        <v>924607</v>
      </c>
      <c r="X763">
        <v>1463196</v>
      </c>
      <c r="Y763">
        <v>162837</v>
      </c>
      <c r="Z763">
        <v>466984</v>
      </c>
      <c r="AA763">
        <v>361278</v>
      </c>
      <c r="AB763">
        <v>81042</v>
      </c>
      <c r="AC763">
        <v>87672</v>
      </c>
      <c r="AD763">
        <v>2068818</v>
      </c>
      <c r="AE763">
        <v>9654939</v>
      </c>
      <c r="AF763">
        <v>19790</v>
      </c>
      <c r="AG763" t="s">
        <v>134</v>
      </c>
      <c r="AH763" t="s">
        <v>135</v>
      </c>
      <c r="AI763" t="s">
        <v>134</v>
      </c>
      <c r="AJ763" t="s">
        <v>135</v>
      </c>
      <c r="AK763">
        <v>1260</v>
      </c>
      <c r="AL763" t="s">
        <v>44</v>
      </c>
      <c r="AM763">
        <v>3</v>
      </c>
      <c r="AN763">
        <v>3</v>
      </c>
      <c r="AO763">
        <v>2024</v>
      </c>
      <c r="AP763">
        <v>1</v>
      </c>
    </row>
    <row r="764" spans="1:42" x14ac:dyDescent="0.25">
      <c r="A764">
        <v>26875</v>
      </c>
      <c r="B764">
        <v>1168731</v>
      </c>
      <c r="C764">
        <v>185059</v>
      </c>
      <c r="D764">
        <v>421459</v>
      </c>
      <c r="E764">
        <v>673604</v>
      </c>
      <c r="F764">
        <v>2475728</v>
      </c>
      <c r="G764">
        <v>184592</v>
      </c>
      <c r="H764">
        <v>628127</v>
      </c>
      <c r="I764">
        <v>140374</v>
      </c>
      <c r="J764">
        <v>953093</v>
      </c>
      <c r="K764">
        <v>3428821</v>
      </c>
      <c r="L764">
        <v>1356817</v>
      </c>
      <c r="M764">
        <v>188339</v>
      </c>
      <c r="N764">
        <v>282850</v>
      </c>
      <c r="O764">
        <v>79080</v>
      </c>
      <c r="P764">
        <v>1907086</v>
      </c>
      <c r="Q764">
        <v>75075</v>
      </c>
      <c r="R764">
        <v>67106</v>
      </c>
      <c r="S764">
        <v>17831</v>
      </c>
      <c r="T764">
        <v>306704</v>
      </c>
      <c r="U764">
        <v>91064</v>
      </c>
      <c r="V764">
        <v>3083</v>
      </c>
      <c r="W764">
        <v>1024507</v>
      </c>
      <c r="X764">
        <v>1585370</v>
      </c>
      <c r="Y764">
        <v>187936</v>
      </c>
      <c r="Z764">
        <v>477952</v>
      </c>
      <c r="AA764">
        <v>396953</v>
      </c>
      <c r="AB764">
        <v>71657</v>
      </c>
      <c r="AC764">
        <v>115063</v>
      </c>
      <c r="AD764">
        <v>2071489</v>
      </c>
      <c r="AE764">
        <v>10242327</v>
      </c>
      <c r="AF764">
        <v>19790</v>
      </c>
      <c r="AG764" t="s">
        <v>134</v>
      </c>
      <c r="AH764" t="s">
        <v>135</v>
      </c>
      <c r="AI764" t="s">
        <v>134</v>
      </c>
      <c r="AJ764" t="s">
        <v>135</v>
      </c>
      <c r="AK764">
        <v>1260</v>
      </c>
      <c r="AL764" t="s">
        <v>44</v>
      </c>
      <c r="AM764">
        <v>3</v>
      </c>
      <c r="AN764">
        <v>3</v>
      </c>
      <c r="AO764">
        <v>2024</v>
      </c>
      <c r="AP764">
        <v>4</v>
      </c>
    </row>
    <row r="765" spans="1:42" x14ac:dyDescent="0.25">
      <c r="A765">
        <v>28199.74</v>
      </c>
      <c r="B765">
        <v>91231.49</v>
      </c>
      <c r="C765">
        <v>13409.68</v>
      </c>
      <c r="D765">
        <v>96492.88</v>
      </c>
      <c r="E765">
        <v>15999.34</v>
      </c>
      <c r="F765">
        <v>245333.13</v>
      </c>
      <c r="G765">
        <v>24508.16</v>
      </c>
      <c r="H765">
        <v>26523.68</v>
      </c>
      <c r="I765">
        <v>16959.78</v>
      </c>
      <c r="J765">
        <v>67991.62</v>
      </c>
      <c r="K765">
        <v>313324.75</v>
      </c>
      <c r="L765">
        <v>0</v>
      </c>
      <c r="M765">
        <v>15429.33</v>
      </c>
      <c r="N765">
        <v>0</v>
      </c>
      <c r="O765">
        <v>3272.05</v>
      </c>
      <c r="P765">
        <v>18701.38</v>
      </c>
      <c r="Q765">
        <v>480.8</v>
      </c>
      <c r="R765">
        <v>293.49</v>
      </c>
      <c r="S765">
        <v>1297.8699999999999</v>
      </c>
      <c r="T765">
        <v>60304.58</v>
      </c>
      <c r="U765">
        <v>0</v>
      </c>
      <c r="V765">
        <v>0</v>
      </c>
      <c r="W765">
        <v>11447.87</v>
      </c>
      <c r="X765">
        <v>73824.61</v>
      </c>
      <c r="Y765">
        <v>0</v>
      </c>
      <c r="Z765">
        <v>52848.51</v>
      </c>
      <c r="AA765">
        <v>3300.28</v>
      </c>
      <c r="AB765">
        <v>0</v>
      </c>
      <c r="AC765">
        <v>1657.59</v>
      </c>
      <c r="AD765">
        <v>10.130000000000001</v>
      </c>
      <c r="AE765">
        <v>463667.23</v>
      </c>
      <c r="AF765">
        <v>20398</v>
      </c>
      <c r="AG765" t="s">
        <v>130</v>
      </c>
      <c r="AH765" t="s">
        <v>131</v>
      </c>
      <c r="AI765" t="s">
        <v>130</v>
      </c>
      <c r="AJ765" t="s">
        <v>131</v>
      </c>
      <c r="AK765">
        <v>6820</v>
      </c>
      <c r="AL765" t="s">
        <v>44</v>
      </c>
      <c r="AM765">
        <v>3</v>
      </c>
      <c r="AN765">
        <v>3</v>
      </c>
      <c r="AO765">
        <v>2024</v>
      </c>
      <c r="AP765">
        <v>4</v>
      </c>
    </row>
    <row r="766" spans="1:42" x14ac:dyDescent="0.25">
      <c r="A766">
        <v>31965.37</v>
      </c>
      <c r="B766">
        <v>95400.97</v>
      </c>
      <c r="C766">
        <v>15126.72</v>
      </c>
      <c r="D766">
        <v>91701.87</v>
      </c>
      <c r="E766">
        <v>15783.02</v>
      </c>
      <c r="F766">
        <v>249977.96</v>
      </c>
      <c r="G766">
        <v>26144.85</v>
      </c>
      <c r="H766">
        <v>26427.91</v>
      </c>
      <c r="I766">
        <v>19343.52</v>
      </c>
      <c r="J766">
        <v>71916.28</v>
      </c>
      <c r="K766">
        <v>321894.23</v>
      </c>
      <c r="L766">
        <v>0</v>
      </c>
      <c r="M766">
        <v>15494.47</v>
      </c>
      <c r="N766">
        <v>0</v>
      </c>
      <c r="O766">
        <v>3031.62</v>
      </c>
      <c r="P766">
        <v>18526.09</v>
      </c>
      <c r="Q766">
        <v>559.13</v>
      </c>
      <c r="R766">
        <v>315.63</v>
      </c>
      <c r="S766">
        <v>1285.52</v>
      </c>
      <c r="T766">
        <v>67436.259999999995</v>
      </c>
      <c r="U766">
        <v>0</v>
      </c>
      <c r="V766">
        <v>0</v>
      </c>
      <c r="W766">
        <v>10623.29</v>
      </c>
      <c r="X766">
        <v>80219.839999999997</v>
      </c>
      <c r="Y766">
        <v>0</v>
      </c>
      <c r="Z766">
        <v>50886.89</v>
      </c>
      <c r="AA766">
        <v>2944.65</v>
      </c>
      <c r="AB766">
        <v>0</v>
      </c>
      <c r="AC766">
        <v>1717.65</v>
      </c>
      <c r="AD766">
        <v>11.19</v>
      </c>
      <c r="AE766">
        <v>476200.54</v>
      </c>
      <c r="AF766">
        <v>20398</v>
      </c>
      <c r="AG766" t="s">
        <v>130</v>
      </c>
      <c r="AH766" t="s">
        <v>131</v>
      </c>
      <c r="AI766" t="s">
        <v>130</v>
      </c>
      <c r="AJ766" t="s">
        <v>131</v>
      </c>
      <c r="AK766">
        <v>6820</v>
      </c>
      <c r="AL766" t="s">
        <v>44</v>
      </c>
      <c r="AM766">
        <v>3</v>
      </c>
      <c r="AN766">
        <v>3</v>
      </c>
      <c r="AO766">
        <v>2024</v>
      </c>
      <c r="AP766">
        <v>2</v>
      </c>
    </row>
    <row r="767" spans="1:42" x14ac:dyDescent="0.25">
      <c r="A767">
        <v>32269.65</v>
      </c>
      <c r="B767">
        <v>91903.44</v>
      </c>
      <c r="C767">
        <v>15410.97</v>
      </c>
      <c r="D767">
        <v>91987.34</v>
      </c>
      <c r="E767">
        <v>15487.69</v>
      </c>
      <c r="F767">
        <v>247059.09</v>
      </c>
      <c r="G767">
        <v>24292.71</v>
      </c>
      <c r="H767">
        <v>28795.41</v>
      </c>
      <c r="I767">
        <v>17306.11</v>
      </c>
      <c r="J767">
        <v>70394.23</v>
      </c>
      <c r="K767">
        <v>317453.32</v>
      </c>
      <c r="L767">
        <v>0</v>
      </c>
      <c r="M767">
        <v>13775.66</v>
      </c>
      <c r="N767">
        <v>0</v>
      </c>
      <c r="O767">
        <v>2650.47</v>
      </c>
      <c r="P767">
        <v>16426.13</v>
      </c>
      <c r="Q767">
        <v>525.22</v>
      </c>
      <c r="R767">
        <v>303.23</v>
      </c>
      <c r="S767">
        <v>1360.09</v>
      </c>
      <c r="T767">
        <v>59964.82</v>
      </c>
      <c r="U767">
        <v>0</v>
      </c>
      <c r="V767">
        <v>0</v>
      </c>
      <c r="W767">
        <v>11764.31</v>
      </c>
      <c r="X767">
        <v>73917.679999999993</v>
      </c>
      <c r="Y767">
        <v>0</v>
      </c>
      <c r="Z767">
        <v>53104.02</v>
      </c>
      <c r="AA767">
        <v>3105.32</v>
      </c>
      <c r="AB767">
        <v>0</v>
      </c>
      <c r="AC767">
        <v>1348.57</v>
      </c>
      <c r="AD767">
        <v>7.86</v>
      </c>
      <c r="AE767">
        <v>465362.9</v>
      </c>
      <c r="AF767">
        <v>20398</v>
      </c>
      <c r="AG767" t="s">
        <v>130</v>
      </c>
      <c r="AH767" t="s">
        <v>131</v>
      </c>
      <c r="AI767" t="s">
        <v>130</v>
      </c>
      <c r="AJ767" t="s">
        <v>131</v>
      </c>
      <c r="AK767">
        <v>6820</v>
      </c>
      <c r="AL767" t="s">
        <v>44</v>
      </c>
      <c r="AM767">
        <v>3</v>
      </c>
      <c r="AN767">
        <v>3</v>
      </c>
      <c r="AO767">
        <v>2024</v>
      </c>
      <c r="AP767">
        <v>3</v>
      </c>
    </row>
    <row r="768" spans="1:42" x14ac:dyDescent="0.25">
      <c r="A768">
        <v>34161.620000000003</v>
      </c>
      <c r="B768">
        <v>107712.24</v>
      </c>
      <c r="C768">
        <v>15317.89</v>
      </c>
      <c r="D768">
        <v>91495.08</v>
      </c>
      <c r="E768">
        <v>14691.61</v>
      </c>
      <c r="F768">
        <v>263378.43</v>
      </c>
      <c r="G768">
        <v>24598.560000000001</v>
      </c>
      <c r="H768">
        <v>24700.79</v>
      </c>
      <c r="I768">
        <v>22528.57</v>
      </c>
      <c r="J768">
        <v>71827.92</v>
      </c>
      <c r="K768">
        <v>335206.34999999998</v>
      </c>
      <c r="L768">
        <v>0</v>
      </c>
      <c r="M768">
        <v>12637.12</v>
      </c>
      <c r="N768">
        <v>0</v>
      </c>
      <c r="O768">
        <v>3884.9</v>
      </c>
      <c r="P768">
        <v>16522.03</v>
      </c>
      <c r="Q768">
        <v>652.79</v>
      </c>
      <c r="R768">
        <v>301.64</v>
      </c>
      <c r="S768">
        <v>1350.44</v>
      </c>
      <c r="T768">
        <v>61988.13</v>
      </c>
      <c r="U768">
        <v>0</v>
      </c>
      <c r="V768">
        <v>0</v>
      </c>
      <c r="W768">
        <v>11952.4</v>
      </c>
      <c r="X768">
        <v>76245.39</v>
      </c>
      <c r="Y768">
        <v>0</v>
      </c>
      <c r="Z768">
        <v>48081.49</v>
      </c>
      <c r="AA768">
        <v>2950.01</v>
      </c>
      <c r="AB768">
        <v>0</v>
      </c>
      <c r="AC768">
        <v>1839.83</v>
      </c>
      <c r="AD768">
        <v>13.07</v>
      </c>
      <c r="AE768">
        <v>480858.17</v>
      </c>
      <c r="AF768">
        <v>20398</v>
      </c>
      <c r="AG768" t="s">
        <v>130</v>
      </c>
      <c r="AH768" t="s">
        <v>131</v>
      </c>
      <c r="AI768" t="s">
        <v>130</v>
      </c>
      <c r="AJ768" t="s">
        <v>131</v>
      </c>
      <c r="AK768">
        <v>6820</v>
      </c>
      <c r="AL768" t="s">
        <v>44</v>
      </c>
      <c r="AM768">
        <v>3</v>
      </c>
      <c r="AN768">
        <v>3</v>
      </c>
      <c r="AO768">
        <v>2024</v>
      </c>
      <c r="AP768">
        <v>1</v>
      </c>
    </row>
    <row r="769" spans="1:42" x14ac:dyDescent="0.25">
      <c r="A769">
        <v>39238</v>
      </c>
      <c r="B769">
        <v>239147</v>
      </c>
      <c r="C769">
        <v>117383</v>
      </c>
      <c r="D769">
        <v>179944</v>
      </c>
      <c r="E769">
        <v>109407</v>
      </c>
      <c r="F769">
        <v>685119</v>
      </c>
      <c r="G769">
        <v>44836</v>
      </c>
      <c r="H769">
        <v>118918</v>
      </c>
      <c r="I769">
        <v>68565</v>
      </c>
      <c r="J769">
        <v>232319</v>
      </c>
      <c r="K769">
        <v>917438</v>
      </c>
      <c r="L769">
        <v>417924</v>
      </c>
      <c r="M769">
        <v>153583</v>
      </c>
      <c r="N769">
        <v>63</v>
      </c>
      <c r="O769">
        <v>41924</v>
      </c>
      <c r="P769">
        <v>613494</v>
      </c>
      <c r="Q769">
        <v>5716</v>
      </c>
      <c r="R769">
        <v>10365</v>
      </c>
      <c r="S769">
        <v>32314</v>
      </c>
      <c r="T769">
        <v>16859</v>
      </c>
      <c r="V769">
        <v>24</v>
      </c>
      <c r="W769">
        <v>155932</v>
      </c>
      <c r="X769">
        <v>221210</v>
      </c>
      <c r="Y769">
        <v>44262</v>
      </c>
      <c r="Z769">
        <v>99053</v>
      </c>
      <c r="AA769">
        <v>248478</v>
      </c>
      <c r="AB769">
        <v>-1</v>
      </c>
      <c r="AC769">
        <v>243240</v>
      </c>
      <c r="AD769">
        <v>2661902</v>
      </c>
      <c r="AE769">
        <v>5049076</v>
      </c>
      <c r="AF769">
        <v>20107</v>
      </c>
      <c r="AG769" t="s">
        <v>144</v>
      </c>
      <c r="AH769" t="s">
        <v>145</v>
      </c>
      <c r="AI769" t="s">
        <v>144</v>
      </c>
      <c r="AJ769" t="s">
        <v>145</v>
      </c>
      <c r="AK769">
        <v>6200</v>
      </c>
      <c r="AL769" t="s">
        <v>44</v>
      </c>
      <c r="AM769">
        <v>3</v>
      </c>
      <c r="AN769">
        <v>3</v>
      </c>
      <c r="AO769">
        <v>2024</v>
      </c>
      <c r="AP769">
        <v>1</v>
      </c>
    </row>
    <row r="770" spans="1:42" x14ac:dyDescent="0.25">
      <c r="A770">
        <v>41682</v>
      </c>
      <c r="B770">
        <v>223033</v>
      </c>
      <c r="C770">
        <v>105098</v>
      </c>
      <c r="D770">
        <v>194920</v>
      </c>
      <c r="E770">
        <v>89996</v>
      </c>
      <c r="F770">
        <v>654729</v>
      </c>
      <c r="G770">
        <v>39924</v>
      </c>
      <c r="H770">
        <v>67020</v>
      </c>
      <c r="I770">
        <v>39752</v>
      </c>
      <c r="J770">
        <v>146696</v>
      </c>
      <c r="K770">
        <v>801425</v>
      </c>
      <c r="L770">
        <v>290232</v>
      </c>
      <c r="M770">
        <v>127593</v>
      </c>
      <c r="N770">
        <v>-26</v>
      </c>
      <c r="O770">
        <v>22472</v>
      </c>
      <c r="P770">
        <v>440271</v>
      </c>
      <c r="Q770">
        <v>11380</v>
      </c>
      <c r="R770">
        <v>11083</v>
      </c>
      <c r="S770">
        <v>12086</v>
      </c>
      <c r="T770">
        <v>14565</v>
      </c>
      <c r="V770">
        <v>14</v>
      </c>
      <c r="W770">
        <v>142529</v>
      </c>
      <c r="X770">
        <v>191657</v>
      </c>
      <c r="Y770">
        <v>45933</v>
      </c>
      <c r="Z770">
        <v>92078</v>
      </c>
      <c r="AA770">
        <v>273852</v>
      </c>
      <c r="AB770">
        <v>0</v>
      </c>
      <c r="AC770">
        <v>57932</v>
      </c>
      <c r="AD770">
        <v>11751294</v>
      </c>
      <c r="AE770">
        <v>13654442</v>
      </c>
      <c r="AF770">
        <v>20107</v>
      </c>
      <c r="AG770" t="s">
        <v>144</v>
      </c>
      <c r="AH770" t="s">
        <v>145</v>
      </c>
      <c r="AI770" t="s">
        <v>144</v>
      </c>
      <c r="AJ770" t="s">
        <v>145</v>
      </c>
      <c r="AK770">
        <v>6200</v>
      </c>
      <c r="AL770" t="s">
        <v>44</v>
      </c>
      <c r="AM770">
        <v>3</v>
      </c>
      <c r="AN770">
        <v>3</v>
      </c>
      <c r="AO770">
        <v>2024</v>
      </c>
      <c r="AP770">
        <v>4</v>
      </c>
    </row>
    <row r="771" spans="1:42" x14ac:dyDescent="0.25">
      <c r="A771">
        <v>41813</v>
      </c>
      <c r="B771">
        <v>231181</v>
      </c>
      <c r="C771">
        <v>116000</v>
      </c>
      <c r="D771">
        <v>188230</v>
      </c>
      <c r="E771">
        <v>103454</v>
      </c>
      <c r="F771">
        <v>680678</v>
      </c>
      <c r="G771">
        <v>39069</v>
      </c>
      <c r="H771">
        <v>65360</v>
      </c>
      <c r="I771">
        <v>46069</v>
      </c>
      <c r="J771">
        <v>150498</v>
      </c>
      <c r="K771">
        <v>831176</v>
      </c>
      <c r="L771">
        <v>356891</v>
      </c>
      <c r="M771">
        <v>139175</v>
      </c>
      <c r="N771">
        <v>30</v>
      </c>
      <c r="O771">
        <v>25119</v>
      </c>
      <c r="P771">
        <v>521215</v>
      </c>
      <c r="Q771">
        <v>15610</v>
      </c>
      <c r="R771">
        <v>9868</v>
      </c>
      <c r="S771">
        <v>10378</v>
      </c>
      <c r="T771">
        <v>18383</v>
      </c>
      <c r="V771">
        <v>15</v>
      </c>
      <c r="W771">
        <v>166745</v>
      </c>
      <c r="X771">
        <v>220999</v>
      </c>
      <c r="Y771">
        <v>53162</v>
      </c>
      <c r="Z771">
        <v>96517</v>
      </c>
      <c r="AA771">
        <v>296532</v>
      </c>
      <c r="AB771">
        <v>-1</v>
      </c>
      <c r="AC771">
        <v>88200</v>
      </c>
      <c r="AD771">
        <v>10552081</v>
      </c>
      <c r="AE771">
        <v>12659881</v>
      </c>
      <c r="AF771">
        <v>20107</v>
      </c>
      <c r="AG771" t="s">
        <v>144</v>
      </c>
      <c r="AH771" t="s">
        <v>145</v>
      </c>
      <c r="AI771" t="s">
        <v>144</v>
      </c>
      <c r="AJ771" t="s">
        <v>145</v>
      </c>
      <c r="AK771">
        <v>6200</v>
      </c>
      <c r="AL771" t="s">
        <v>44</v>
      </c>
      <c r="AM771">
        <v>3</v>
      </c>
      <c r="AN771">
        <v>3</v>
      </c>
      <c r="AO771">
        <v>2024</v>
      </c>
      <c r="AP771">
        <v>3</v>
      </c>
    </row>
    <row r="772" spans="1:42" x14ac:dyDescent="0.25">
      <c r="A772">
        <v>42882</v>
      </c>
      <c r="B772">
        <v>233767</v>
      </c>
      <c r="C772">
        <v>114475</v>
      </c>
      <c r="D772">
        <v>180778</v>
      </c>
      <c r="E772">
        <v>101546</v>
      </c>
      <c r="F772">
        <v>673448</v>
      </c>
      <c r="G772">
        <v>40366</v>
      </c>
      <c r="H772">
        <v>150776</v>
      </c>
      <c r="I772">
        <v>58474</v>
      </c>
      <c r="J772">
        <v>249616</v>
      </c>
      <c r="K772">
        <v>923064</v>
      </c>
      <c r="L772">
        <v>401419</v>
      </c>
      <c r="M772">
        <v>138115</v>
      </c>
      <c r="N772">
        <v>16</v>
      </c>
      <c r="O772">
        <v>38011</v>
      </c>
      <c r="P772">
        <v>577561</v>
      </c>
      <c r="Q772">
        <v>5316</v>
      </c>
      <c r="R772">
        <v>9977</v>
      </c>
      <c r="S772">
        <v>49232</v>
      </c>
      <c r="T772">
        <v>16040</v>
      </c>
      <c r="V772">
        <v>-43</v>
      </c>
      <c r="W772">
        <v>178809</v>
      </c>
      <c r="X772">
        <v>259331</v>
      </c>
      <c r="Y772">
        <v>47745</v>
      </c>
      <c r="Z772">
        <v>105836</v>
      </c>
      <c r="AA772">
        <v>250724</v>
      </c>
      <c r="AB772">
        <v>-1</v>
      </c>
      <c r="AC772">
        <v>349650</v>
      </c>
      <c r="AD772">
        <v>5228840</v>
      </c>
      <c r="AE772">
        <v>7742750</v>
      </c>
      <c r="AF772">
        <v>20107</v>
      </c>
      <c r="AG772" t="s">
        <v>144</v>
      </c>
      <c r="AH772" t="s">
        <v>145</v>
      </c>
      <c r="AI772" t="s">
        <v>144</v>
      </c>
      <c r="AJ772" t="s">
        <v>145</v>
      </c>
      <c r="AK772">
        <v>6200</v>
      </c>
      <c r="AL772" t="s">
        <v>44</v>
      </c>
      <c r="AM772">
        <v>3</v>
      </c>
      <c r="AN772">
        <v>3</v>
      </c>
      <c r="AO772">
        <v>2024</v>
      </c>
      <c r="AP772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64A5-B86D-4567-8BE8-828127E77853}">
  <dimension ref="A1:Q113"/>
  <sheetViews>
    <sheetView tabSelected="1" topLeftCell="I1" workbookViewId="0">
      <selection activeCell="S20" sqref="S20"/>
    </sheetView>
  </sheetViews>
  <sheetFormatPr defaultRowHeight="15" x14ac:dyDescent="0.25"/>
  <cols>
    <col min="1" max="1" width="21.140625" customWidth="1"/>
    <col min="2" max="2" width="17.28515625" customWidth="1"/>
    <col min="3" max="3" width="18.5703125" customWidth="1"/>
    <col min="4" max="4" width="19.5703125" customWidth="1"/>
    <col min="5" max="5" width="18.5703125" customWidth="1"/>
    <col min="6" max="6" width="16.85546875" customWidth="1"/>
    <col min="7" max="7" width="11.28515625" customWidth="1"/>
    <col min="8" max="8" width="16.85546875" customWidth="1"/>
    <col min="9" max="9" width="16.7109375" customWidth="1"/>
    <col min="10" max="10" width="9.42578125" customWidth="1"/>
    <col min="11" max="11" width="18.28515625" customWidth="1"/>
    <col min="12" max="12" width="14.85546875" customWidth="1"/>
    <col min="13" max="13" width="19.28515625" customWidth="1"/>
    <col min="14" max="14" width="10.42578125" customWidth="1"/>
    <col min="16" max="16" width="11.7109375" customWidth="1"/>
  </cols>
  <sheetData>
    <row r="1" spans="1:17" x14ac:dyDescent="0.25">
      <c r="A1" t="s">
        <v>10</v>
      </c>
      <c r="B1" t="s">
        <v>11</v>
      </c>
      <c r="C1" t="s">
        <v>12</v>
      </c>
      <c r="D1" t="s">
        <v>15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32</v>
      </c>
      <c r="N1" t="s">
        <v>37</v>
      </c>
      <c r="O1" t="s">
        <v>40</v>
      </c>
      <c r="P1" t="s">
        <v>41</v>
      </c>
      <c r="Q1" t="s">
        <v>169</v>
      </c>
    </row>
    <row r="2" spans="1:17" x14ac:dyDescent="0.25">
      <c r="A2" s="1">
        <v>81.516000000000005</v>
      </c>
      <c r="B2" s="1">
        <v>31.867000000000001</v>
      </c>
      <c r="C2" s="1">
        <v>2.3330000000000002</v>
      </c>
      <c r="D2" s="1">
        <v>35.271999999999998</v>
      </c>
      <c r="E2" s="1">
        <v>20.821000000000002</v>
      </c>
      <c r="F2" s="1">
        <v>5.0389999999999997</v>
      </c>
      <c r="G2" s="1">
        <v>10.58</v>
      </c>
      <c r="H2" s="1">
        <v>9.2789999999999999</v>
      </c>
      <c r="I2" s="1">
        <v>0.25600000000000001</v>
      </c>
      <c r="J2" s="1">
        <v>1.827</v>
      </c>
      <c r="K2" s="1">
        <v>0.89700000000000002</v>
      </c>
      <c r="L2" s="1">
        <v>165.48699999999999</v>
      </c>
      <c r="M2" t="s">
        <v>99</v>
      </c>
      <c r="N2" t="s">
        <v>50</v>
      </c>
      <c r="O2">
        <v>2025</v>
      </c>
      <c r="P2">
        <v>3</v>
      </c>
      <c r="Q2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3" spans="1:17" x14ac:dyDescent="0.25">
      <c r="A3" s="1">
        <v>101.65900000000001</v>
      </c>
      <c r="B3" s="1">
        <v>38.914999999999999</v>
      </c>
      <c r="C3" s="1">
        <v>3.2170000000000001</v>
      </c>
      <c r="D3" s="1">
        <v>43.072000000000003</v>
      </c>
      <c r="E3" s="1">
        <v>26.870999999999999</v>
      </c>
      <c r="F3" s="1">
        <v>5.8090000000000002</v>
      </c>
      <c r="G3" s="1">
        <v>13.786</v>
      </c>
      <c r="H3" s="1">
        <v>12.111000000000001</v>
      </c>
      <c r="I3" s="1">
        <v>0.34799999999999998</v>
      </c>
      <c r="J3" s="1">
        <v>2.25</v>
      </c>
      <c r="K3" s="1">
        <v>1.24</v>
      </c>
      <c r="L3" s="1">
        <v>207.14599999999999</v>
      </c>
      <c r="M3" t="s">
        <v>99</v>
      </c>
      <c r="N3" t="s">
        <v>50</v>
      </c>
      <c r="O3">
        <v>2025</v>
      </c>
      <c r="P3">
        <v>1</v>
      </c>
      <c r="Q3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4" spans="1:17" x14ac:dyDescent="0.25">
      <c r="A4" s="1">
        <v>77.414000000000001</v>
      </c>
      <c r="B4" s="1">
        <v>28.884</v>
      </c>
      <c r="C4" s="1">
        <v>2.3540000000000001</v>
      </c>
      <c r="D4" s="1">
        <v>32.094999999999999</v>
      </c>
      <c r="E4" s="1">
        <v>19.239000000000001</v>
      </c>
      <c r="F4" s="1">
        <v>4.68</v>
      </c>
      <c r="G4" s="1">
        <v>9.3239999999999998</v>
      </c>
      <c r="H4" s="1">
        <v>7.8860000000000001</v>
      </c>
      <c r="I4" s="1">
        <v>0.23599999999999999</v>
      </c>
      <c r="J4" s="1">
        <v>0.68300000000000005</v>
      </c>
      <c r="K4" s="1">
        <v>1.196</v>
      </c>
      <c r="L4" s="1">
        <v>152.75299999999999</v>
      </c>
      <c r="M4" t="s">
        <v>99</v>
      </c>
      <c r="N4" t="s">
        <v>50</v>
      </c>
      <c r="O4">
        <v>2025</v>
      </c>
      <c r="P4">
        <v>4</v>
      </c>
      <c r="Q4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5" spans="1:17" x14ac:dyDescent="0.25">
      <c r="A5" s="1">
        <v>178.90812</v>
      </c>
      <c r="B5" s="1">
        <v>89.995320000000007</v>
      </c>
      <c r="C5" s="1">
        <v>13.233469999999999</v>
      </c>
      <c r="D5" s="1">
        <v>117.06041</v>
      </c>
      <c r="E5" s="1">
        <v>79.694210000000012</v>
      </c>
      <c r="F5" s="1">
        <v>11.41169</v>
      </c>
      <c r="G5" s="1">
        <v>34.627029999999998</v>
      </c>
      <c r="H5" s="1">
        <v>17.045080000000002</v>
      </c>
      <c r="I5" s="1">
        <v>0.87880999999999998</v>
      </c>
      <c r="J5" s="1">
        <v>4.2291099999999995</v>
      </c>
      <c r="K5" s="1">
        <v>1.3375299999999999</v>
      </c>
      <c r="L5" s="1">
        <v>445.19200000000001</v>
      </c>
      <c r="M5" t="s">
        <v>105</v>
      </c>
      <c r="N5" t="s">
        <v>64</v>
      </c>
      <c r="O5">
        <v>2025</v>
      </c>
      <c r="P5">
        <v>3</v>
      </c>
      <c r="Q5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-1.0000000031595846E-5</v>
      </c>
    </row>
    <row r="6" spans="1:17" x14ac:dyDescent="0.25">
      <c r="A6" s="1">
        <v>169.47782999999998</v>
      </c>
      <c r="B6" s="1">
        <v>84.920880000000011</v>
      </c>
      <c r="C6" s="1">
        <v>10.71022</v>
      </c>
      <c r="D6" s="1">
        <v>108.97581</v>
      </c>
      <c r="E6" s="1">
        <v>74.960909999999998</v>
      </c>
      <c r="F6" s="1">
        <v>10.726379999999999</v>
      </c>
      <c r="G6" s="1">
        <v>32.844850000000001</v>
      </c>
      <c r="H6" s="1">
        <v>16.461490000000001</v>
      </c>
      <c r="I6" s="1">
        <v>0.83774999999999999</v>
      </c>
      <c r="J6" s="1">
        <v>6.1122700000000005</v>
      </c>
      <c r="K6" s="1">
        <v>1.5353399999999999</v>
      </c>
      <c r="L6" s="1">
        <v>421.93261999999999</v>
      </c>
      <c r="M6" t="s">
        <v>105</v>
      </c>
      <c r="N6" t="s">
        <v>64</v>
      </c>
      <c r="O6">
        <v>2025</v>
      </c>
      <c r="P6">
        <v>2</v>
      </c>
      <c r="Q6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1.0000000088439265E-5</v>
      </c>
    </row>
    <row r="7" spans="1:17" x14ac:dyDescent="0.25">
      <c r="A7" s="1">
        <v>108.53700000000001</v>
      </c>
      <c r="B7" s="1">
        <v>41.795000000000002</v>
      </c>
      <c r="C7" s="1">
        <v>2.9060000000000001</v>
      </c>
      <c r="D7" s="1">
        <v>45.923999999999999</v>
      </c>
      <c r="E7" s="1">
        <v>28.954999999999998</v>
      </c>
      <c r="F7" s="1">
        <v>6.4530000000000003</v>
      </c>
      <c r="G7" s="1">
        <v>14.766999999999999</v>
      </c>
      <c r="H7" s="1">
        <v>12.334</v>
      </c>
      <c r="I7" s="1">
        <v>0.34</v>
      </c>
      <c r="J7" s="1">
        <v>2.6859999999999999</v>
      </c>
      <c r="K7" s="1">
        <v>1.2649999999999999</v>
      </c>
      <c r="L7" s="1">
        <v>221.261</v>
      </c>
      <c r="M7" t="s">
        <v>99</v>
      </c>
      <c r="N7" t="s">
        <v>50</v>
      </c>
      <c r="O7">
        <v>2025</v>
      </c>
      <c r="P7">
        <v>2</v>
      </c>
      <c r="Q7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8" spans="1:17" x14ac:dyDescent="0.25">
      <c r="A8" s="1">
        <v>239.03989999999999</v>
      </c>
      <c r="B8" s="1">
        <v>115.49131</v>
      </c>
      <c r="C8" s="1">
        <v>18.294550000000001</v>
      </c>
      <c r="D8" s="1">
        <v>152.73651999999998</v>
      </c>
      <c r="E8" s="1">
        <v>99.105500000000006</v>
      </c>
      <c r="F8" s="1">
        <v>13.765940000000001</v>
      </c>
      <c r="G8" s="1">
        <v>46.043330000000005</v>
      </c>
      <c r="H8" s="1">
        <v>23.36872</v>
      </c>
      <c r="I8" s="1">
        <v>1.46356</v>
      </c>
      <c r="J8" s="1">
        <v>10.81574</v>
      </c>
      <c r="K8" s="1">
        <v>1.8436900000000001</v>
      </c>
      <c r="L8" s="1">
        <v>588.18290000000002</v>
      </c>
      <c r="M8" t="s">
        <v>105</v>
      </c>
      <c r="N8" t="s">
        <v>64</v>
      </c>
      <c r="O8">
        <v>2025</v>
      </c>
      <c r="P8">
        <v>1</v>
      </c>
      <c r="Q8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9" spans="1:17" x14ac:dyDescent="0.25">
      <c r="A9" s="1">
        <v>240.58501000000001</v>
      </c>
      <c r="B9" s="1">
        <v>113.5232</v>
      </c>
      <c r="C9" s="1">
        <v>16.305340000000001</v>
      </c>
      <c r="D9" s="1">
        <v>148.76953</v>
      </c>
      <c r="E9" s="1">
        <v>104.47232000000001</v>
      </c>
      <c r="F9" s="1">
        <v>14.998389999999999</v>
      </c>
      <c r="G9" s="1">
        <v>42.858530000000002</v>
      </c>
      <c r="H9" s="1">
        <v>22.360569999999999</v>
      </c>
      <c r="I9" s="1">
        <v>1.2313699999999999</v>
      </c>
      <c r="J9" s="1">
        <v>10.07666</v>
      </c>
      <c r="K9" s="1">
        <v>2.3102499999999999</v>
      </c>
      <c r="L9" s="1">
        <v>587.66264000000001</v>
      </c>
      <c r="M9" t="s">
        <v>105</v>
      </c>
      <c r="N9" t="s">
        <v>64</v>
      </c>
      <c r="O9">
        <v>2025</v>
      </c>
      <c r="P9">
        <v>4</v>
      </c>
      <c r="Q9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-9.9999999747524271E-6</v>
      </c>
    </row>
    <row r="10" spans="1:17" x14ac:dyDescent="0.25">
      <c r="A10" s="1">
        <v>578.07659000000001</v>
      </c>
      <c r="B10" s="1">
        <v>294.97843999999998</v>
      </c>
      <c r="C10" s="1">
        <v>43.696510000000004</v>
      </c>
      <c r="D10" s="1">
        <v>384.63860999999997</v>
      </c>
      <c r="E10" s="1">
        <v>241.32104000000001</v>
      </c>
      <c r="F10" s="1">
        <v>33.58522</v>
      </c>
      <c r="G10" s="1">
        <v>111.24760000000001</v>
      </c>
      <c r="H10" s="1">
        <v>56.645629999999997</v>
      </c>
      <c r="I10" s="1">
        <v>3.4925000000000002</v>
      </c>
      <c r="J10" s="1">
        <v>26.522819999999999</v>
      </c>
      <c r="K10" s="1">
        <v>4.5176000000000007</v>
      </c>
      <c r="L10" s="1">
        <v>1440.0476000000001</v>
      </c>
      <c r="M10" t="s">
        <v>105</v>
      </c>
      <c r="N10" t="s">
        <v>53</v>
      </c>
      <c r="O10">
        <v>2025</v>
      </c>
      <c r="P10">
        <v>1</v>
      </c>
      <c r="Q10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9.9999995200050762E-6</v>
      </c>
    </row>
    <row r="11" spans="1:17" x14ac:dyDescent="0.25">
      <c r="A11" s="1">
        <v>584.60262999999998</v>
      </c>
      <c r="B11" s="1">
        <v>259.21664000000004</v>
      </c>
      <c r="C11" s="1">
        <v>43.487519999999996</v>
      </c>
      <c r="D11" s="1">
        <v>348.18865</v>
      </c>
      <c r="E11" s="1">
        <v>260.41439000000003</v>
      </c>
      <c r="F11" s="1">
        <v>37.463089999999994</v>
      </c>
      <c r="G11" s="1">
        <v>112.694</v>
      </c>
      <c r="H11" s="1">
        <v>55.371319999999997</v>
      </c>
      <c r="I11" s="1">
        <v>2.86354</v>
      </c>
      <c r="J11" s="1">
        <v>14.89166</v>
      </c>
      <c r="K11" s="1">
        <v>4.6433900000000001</v>
      </c>
      <c r="L11" s="1">
        <v>1421.1326799999999</v>
      </c>
      <c r="M11" t="s">
        <v>105</v>
      </c>
      <c r="N11" t="s">
        <v>50</v>
      </c>
      <c r="O11">
        <v>2025</v>
      </c>
      <c r="P11">
        <v>3</v>
      </c>
      <c r="Q11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-1.0000000202126103E-5</v>
      </c>
    </row>
    <row r="12" spans="1:17" x14ac:dyDescent="0.25">
      <c r="A12" s="1">
        <v>632.39317000000005</v>
      </c>
      <c r="B12" s="1">
        <v>274.02526</v>
      </c>
      <c r="C12" s="1">
        <v>39.994039999999998</v>
      </c>
      <c r="D12" s="1">
        <v>363.83062000000001</v>
      </c>
      <c r="E12" s="1">
        <v>279.91389000000004</v>
      </c>
      <c r="F12" s="1">
        <v>40.029699999999998</v>
      </c>
      <c r="G12" s="1">
        <v>122.57464999999999</v>
      </c>
      <c r="H12" s="1">
        <v>61.437940000000005</v>
      </c>
      <c r="I12" s="1">
        <v>3.1265999999999998</v>
      </c>
      <c r="J12" s="1">
        <v>23.002590000000001</v>
      </c>
      <c r="K12" s="1">
        <v>5.7388999999999992</v>
      </c>
      <c r="L12" s="1">
        <v>1532.0480600000001</v>
      </c>
      <c r="M12" t="s">
        <v>105</v>
      </c>
      <c r="N12" t="s">
        <v>50</v>
      </c>
      <c r="O12">
        <v>2025</v>
      </c>
      <c r="P12">
        <v>2</v>
      </c>
      <c r="Q12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13" spans="1:17" x14ac:dyDescent="0.25">
      <c r="A13" s="1">
        <v>844.17226000000005</v>
      </c>
      <c r="B13" s="1">
        <v>370.95715999999999</v>
      </c>
      <c r="C13" s="1">
        <v>64.140979999999999</v>
      </c>
      <c r="D13" s="1">
        <v>502.12477000000001</v>
      </c>
      <c r="E13" s="1">
        <v>351.29690999999997</v>
      </c>
      <c r="F13" s="1">
        <v>48.846580000000003</v>
      </c>
      <c r="G13" s="1">
        <v>162.54506000000001</v>
      </c>
      <c r="H13" s="1">
        <v>82.643070000000009</v>
      </c>
      <c r="I13" s="1">
        <v>5.1325099999999999</v>
      </c>
      <c r="J13" s="1">
        <v>38.453400000000002</v>
      </c>
      <c r="K13" s="1">
        <v>6.5630100000000002</v>
      </c>
      <c r="L13" s="1">
        <v>2041.77756</v>
      </c>
      <c r="M13" t="s">
        <v>105</v>
      </c>
      <c r="N13" t="s">
        <v>50</v>
      </c>
      <c r="O13">
        <v>2025</v>
      </c>
      <c r="P13">
        <v>1</v>
      </c>
      <c r="Q13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1.0000000202126103E-5</v>
      </c>
    </row>
    <row r="14" spans="1:17" x14ac:dyDescent="0.25">
      <c r="A14" s="1">
        <v>719.53890999999999</v>
      </c>
      <c r="B14" s="1">
        <v>364.71570000000003</v>
      </c>
      <c r="C14" s="1">
        <v>48.618639999999999</v>
      </c>
      <c r="D14" s="1">
        <v>470.37839000000002</v>
      </c>
      <c r="E14" s="1">
        <v>315.61462999999998</v>
      </c>
      <c r="F14" s="1">
        <v>45.465050000000005</v>
      </c>
      <c r="G14" s="1">
        <v>131.08702</v>
      </c>
      <c r="H14" s="1">
        <v>67.024299999999997</v>
      </c>
      <c r="I14" s="1">
        <v>3.6659099999999998</v>
      </c>
      <c r="J14" s="1">
        <v>29.474419999999999</v>
      </c>
      <c r="K14" s="1">
        <v>6.65754</v>
      </c>
      <c r="L14" s="1">
        <v>1788.90616</v>
      </c>
      <c r="M14" t="s">
        <v>105</v>
      </c>
      <c r="N14" t="s">
        <v>53</v>
      </c>
      <c r="O14">
        <v>2025</v>
      </c>
      <c r="P14">
        <v>4</v>
      </c>
      <c r="Q14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9.9999999747524271E-6</v>
      </c>
    </row>
    <row r="15" spans="1:17" x14ac:dyDescent="0.25">
      <c r="A15" s="1">
        <v>760.30829000000006</v>
      </c>
      <c r="B15" s="1">
        <v>318.86424</v>
      </c>
      <c r="C15" s="1">
        <v>51.536580000000001</v>
      </c>
      <c r="D15" s="1">
        <v>430.16273999999999</v>
      </c>
      <c r="E15" s="1">
        <v>329.39724999999999</v>
      </c>
      <c r="F15" s="1">
        <v>47.26455</v>
      </c>
      <c r="G15" s="1">
        <v>134.71849</v>
      </c>
      <c r="H15" s="1">
        <v>70.655929999999998</v>
      </c>
      <c r="I15" s="1">
        <v>3.8962500000000002</v>
      </c>
      <c r="J15" s="1">
        <v>31.910130000000002</v>
      </c>
      <c r="K15" s="1">
        <v>7.3477200000000007</v>
      </c>
      <c r="L15" s="1">
        <v>1815.6613400000001</v>
      </c>
      <c r="M15" t="s">
        <v>105</v>
      </c>
      <c r="N15" t="s">
        <v>50</v>
      </c>
      <c r="O15">
        <v>2025</v>
      </c>
      <c r="P15">
        <v>4</v>
      </c>
      <c r="Q15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9.9999999747524271E-6</v>
      </c>
    </row>
    <row r="16" spans="1:17" x14ac:dyDescent="0.25">
      <c r="A16" s="1">
        <v>1025.3916999999999</v>
      </c>
      <c r="B16" s="1">
        <v>526.79988000000003</v>
      </c>
      <c r="C16" s="1">
        <v>76.088130000000007</v>
      </c>
      <c r="D16" s="1">
        <v>682.39657</v>
      </c>
      <c r="E16" s="1">
        <v>456.88877000000002</v>
      </c>
      <c r="F16" s="1">
        <v>65.569679999999991</v>
      </c>
      <c r="G16" s="1">
        <v>198.28807999999998</v>
      </c>
      <c r="H16" s="1">
        <v>97.539199999999994</v>
      </c>
      <c r="I16" s="1">
        <v>5.03308</v>
      </c>
      <c r="J16" s="1">
        <v>24.923599999999997</v>
      </c>
      <c r="K16" s="1">
        <v>7.8646199999999995</v>
      </c>
      <c r="L16" s="1">
        <v>2563.8952999999997</v>
      </c>
      <c r="M16" t="s">
        <v>105</v>
      </c>
      <c r="N16" t="s">
        <v>53</v>
      </c>
      <c r="O16">
        <v>2025</v>
      </c>
      <c r="P16">
        <v>3</v>
      </c>
      <c r="Q16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17" spans="1:17" x14ac:dyDescent="0.25">
      <c r="A17" s="1">
        <v>904.95313999999996</v>
      </c>
      <c r="B17" s="1">
        <v>455.27641</v>
      </c>
      <c r="C17" s="1">
        <v>57.368480000000005</v>
      </c>
      <c r="D17" s="1">
        <v>583.93218000000002</v>
      </c>
      <c r="E17" s="1">
        <v>400.93923999999998</v>
      </c>
      <c r="F17" s="1">
        <v>57.319900000000004</v>
      </c>
      <c r="G17" s="1">
        <v>175.43185999999997</v>
      </c>
      <c r="H17" s="1">
        <v>87.88327000000001</v>
      </c>
      <c r="I17" s="1">
        <v>4.4833500000000006</v>
      </c>
      <c r="J17" s="1">
        <v>33.334699999999998</v>
      </c>
      <c r="K17" s="1">
        <v>8.2029099999999993</v>
      </c>
      <c r="L17" s="1">
        <v>2256.4805499999998</v>
      </c>
      <c r="M17" t="s">
        <v>105</v>
      </c>
      <c r="N17" t="s">
        <v>53</v>
      </c>
      <c r="O17">
        <v>2025</v>
      </c>
      <c r="P17">
        <v>2</v>
      </c>
      <c r="Q17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18" spans="1:17" x14ac:dyDescent="0.25">
      <c r="A18" s="1">
        <v>290.24200000000002</v>
      </c>
      <c r="B18" s="1">
        <v>164.233</v>
      </c>
      <c r="C18" s="1">
        <v>11.867000000000001</v>
      </c>
      <c r="D18" s="1">
        <v>204.59399999999999</v>
      </c>
      <c r="E18" s="1">
        <v>118.60299999999999</v>
      </c>
      <c r="F18" s="1">
        <v>16.763000000000002</v>
      </c>
      <c r="G18" s="1">
        <v>38.515000000000001</v>
      </c>
      <c r="H18" s="1">
        <v>22.539000000000001</v>
      </c>
      <c r="I18" s="1">
        <v>4.2619999999999996</v>
      </c>
      <c r="J18" s="1">
        <v>7.6779999999999999</v>
      </c>
      <c r="K18" s="1">
        <v>16.015000000000001</v>
      </c>
      <c r="L18" s="1">
        <v>719.21100000000001</v>
      </c>
      <c r="M18" t="s">
        <v>134</v>
      </c>
      <c r="N18" t="s">
        <v>64</v>
      </c>
      <c r="O18">
        <v>2025</v>
      </c>
      <c r="P18">
        <v>3</v>
      </c>
      <c r="Q18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19" spans="1:17" x14ac:dyDescent="0.25">
      <c r="A19" s="1">
        <v>291.83699999999999</v>
      </c>
      <c r="B19" s="1">
        <v>137.14400000000001</v>
      </c>
      <c r="C19" s="1">
        <v>15.819000000000001</v>
      </c>
      <c r="D19" s="1">
        <v>182.02</v>
      </c>
      <c r="E19" s="1">
        <v>134.15</v>
      </c>
      <c r="F19" s="1">
        <v>17.094000000000001</v>
      </c>
      <c r="G19" s="1">
        <v>41.475000000000001</v>
      </c>
      <c r="H19" s="1">
        <v>31.423999999999999</v>
      </c>
      <c r="I19" s="1">
        <v>5.9390000000000001</v>
      </c>
      <c r="J19" s="1">
        <v>7.8769999999999998</v>
      </c>
      <c r="K19" s="1">
        <v>40.085999999999999</v>
      </c>
      <c r="L19" s="1">
        <v>751.90200000000004</v>
      </c>
      <c r="M19" t="s">
        <v>134</v>
      </c>
      <c r="N19" t="s">
        <v>50</v>
      </c>
      <c r="O19">
        <v>2025</v>
      </c>
      <c r="P19">
        <v>3</v>
      </c>
      <c r="Q19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20" spans="1:17" x14ac:dyDescent="0.25">
      <c r="A20" s="1">
        <v>295.01299999999998</v>
      </c>
      <c r="B20" s="1">
        <v>152.76300000000001</v>
      </c>
      <c r="C20" s="1">
        <v>8.7260000000000009</v>
      </c>
      <c r="D20" s="1">
        <v>190.887</v>
      </c>
      <c r="E20" s="1">
        <v>122.95099999999999</v>
      </c>
      <c r="F20" s="1">
        <v>16.504000000000001</v>
      </c>
      <c r="G20" s="1">
        <v>38.582000000000001</v>
      </c>
      <c r="H20" s="1">
        <v>21.535</v>
      </c>
      <c r="I20" s="1">
        <v>3.927</v>
      </c>
      <c r="J20" s="1">
        <v>8.2569999999999997</v>
      </c>
      <c r="K20" s="1">
        <v>15.249000000000001</v>
      </c>
      <c r="L20" s="1">
        <v>712.90499999999997</v>
      </c>
      <c r="M20" t="s">
        <v>134</v>
      </c>
      <c r="N20" t="s">
        <v>64</v>
      </c>
      <c r="O20">
        <v>2025</v>
      </c>
      <c r="P20">
        <v>2</v>
      </c>
      <c r="Q20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21" spans="1:17" x14ac:dyDescent="0.25">
      <c r="A21" s="1">
        <v>337.55399999999997</v>
      </c>
      <c r="B21" s="1">
        <v>175.79400000000001</v>
      </c>
      <c r="C21" s="1">
        <v>11.712999999999999</v>
      </c>
      <c r="D21" s="1">
        <v>219.89500000000001</v>
      </c>
      <c r="E21" s="1">
        <v>129.489</v>
      </c>
      <c r="F21" s="1">
        <v>18.5</v>
      </c>
      <c r="G21" s="1">
        <v>44.204000000000001</v>
      </c>
      <c r="H21" s="1">
        <v>25.902999999999999</v>
      </c>
      <c r="I21" s="1">
        <v>5.056</v>
      </c>
      <c r="J21" s="1">
        <v>7.8680000000000003</v>
      </c>
      <c r="K21" s="1">
        <v>18.597999999999999</v>
      </c>
      <c r="L21" s="1">
        <v>807.06700000000001</v>
      </c>
      <c r="M21" t="s">
        <v>134</v>
      </c>
      <c r="N21" t="s">
        <v>64</v>
      </c>
      <c r="O21">
        <v>2025</v>
      </c>
      <c r="P21">
        <v>4</v>
      </c>
      <c r="Q21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22" spans="1:17" x14ac:dyDescent="0.25">
      <c r="A22" s="1">
        <v>301.22899999999998</v>
      </c>
      <c r="B22" s="1">
        <v>180.66200000000001</v>
      </c>
      <c r="C22" s="1">
        <v>13.818</v>
      </c>
      <c r="D22" s="1">
        <v>227.47800000000001</v>
      </c>
      <c r="E22" s="1">
        <v>130.76900000000001</v>
      </c>
      <c r="F22" s="1">
        <v>16.440999999999999</v>
      </c>
      <c r="G22" s="1">
        <v>44.703000000000003</v>
      </c>
      <c r="H22" s="1">
        <v>26.413</v>
      </c>
      <c r="I22" s="1">
        <v>4.9969999999999999</v>
      </c>
      <c r="J22" s="1">
        <v>8.4879999999999995</v>
      </c>
      <c r="K22" s="1">
        <v>16.37</v>
      </c>
      <c r="L22" s="1">
        <v>776.88800000000003</v>
      </c>
      <c r="M22" t="s">
        <v>134</v>
      </c>
      <c r="N22" t="s">
        <v>64</v>
      </c>
      <c r="O22">
        <v>2025</v>
      </c>
      <c r="P22">
        <v>1</v>
      </c>
      <c r="Q22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23" spans="1:17" x14ac:dyDescent="0.25">
      <c r="A23" s="1">
        <v>357.32100000000003</v>
      </c>
      <c r="B23" s="1">
        <v>160.22900000000001</v>
      </c>
      <c r="C23" s="1">
        <v>14.276999999999999</v>
      </c>
      <c r="D23" s="1">
        <v>208.92400000000001</v>
      </c>
      <c r="E23" s="1">
        <v>164.84299999999999</v>
      </c>
      <c r="F23" s="1">
        <v>19.315999999999999</v>
      </c>
      <c r="G23" s="1">
        <v>48.722000000000001</v>
      </c>
      <c r="H23" s="1">
        <v>38.511000000000003</v>
      </c>
      <c r="I23" s="1">
        <v>7.0250000000000004</v>
      </c>
      <c r="J23" s="1">
        <v>9.7780000000000005</v>
      </c>
      <c r="K23" s="1">
        <v>37.868000000000002</v>
      </c>
      <c r="L23" s="1">
        <v>892.30799999999999</v>
      </c>
      <c r="M23" t="s">
        <v>134</v>
      </c>
      <c r="N23" t="s">
        <v>50</v>
      </c>
      <c r="O23">
        <v>2025</v>
      </c>
      <c r="P23">
        <v>2</v>
      </c>
      <c r="Q23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24" spans="1:17" x14ac:dyDescent="0.25">
      <c r="A24" s="1">
        <v>380.84800000000001</v>
      </c>
      <c r="B24" s="1">
        <v>162.51900000000001</v>
      </c>
      <c r="C24" s="1">
        <v>17.052</v>
      </c>
      <c r="D24" s="1">
        <v>216.67699999999999</v>
      </c>
      <c r="E24" s="1">
        <v>162.655</v>
      </c>
      <c r="F24" s="1">
        <v>21.195</v>
      </c>
      <c r="G24" s="1">
        <v>53.268999999999998</v>
      </c>
      <c r="H24" s="1">
        <v>39.859000000000002</v>
      </c>
      <c r="I24" s="1">
        <v>7.7809999999999997</v>
      </c>
      <c r="J24" s="1">
        <v>9.0760000000000005</v>
      </c>
      <c r="K24" s="1">
        <v>40.529000000000003</v>
      </c>
      <c r="L24" s="1">
        <v>931.88900000000001</v>
      </c>
      <c r="M24" t="s">
        <v>134</v>
      </c>
      <c r="N24" t="s">
        <v>50</v>
      </c>
      <c r="O24">
        <v>2025</v>
      </c>
      <c r="P24">
        <v>4</v>
      </c>
      <c r="Q24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25" spans="1:17" x14ac:dyDescent="0.25">
      <c r="A25" s="1">
        <v>519.94439999999997</v>
      </c>
      <c r="B25" s="1">
        <v>281.84402</v>
      </c>
      <c r="C25" s="1">
        <v>23.196169999999999</v>
      </c>
      <c r="D25" s="1">
        <v>348.80784</v>
      </c>
      <c r="E25" s="1">
        <v>234.56819000000002</v>
      </c>
      <c r="F25" s="1">
        <v>35.491990000000001</v>
      </c>
      <c r="G25" s="1">
        <v>59.579550000000005</v>
      </c>
      <c r="H25" s="1">
        <v>76.544269999999997</v>
      </c>
      <c r="I25" s="1">
        <v>2.6435200000000001</v>
      </c>
      <c r="J25" s="1">
        <v>2.3098000000000001</v>
      </c>
      <c r="K25" s="1">
        <v>64.027630000000002</v>
      </c>
      <c r="L25" s="1">
        <v>1343.9171899999999</v>
      </c>
      <c r="M25" t="s">
        <v>142</v>
      </c>
      <c r="N25" t="s">
        <v>50</v>
      </c>
      <c r="O25">
        <v>2025</v>
      </c>
      <c r="P25">
        <v>1</v>
      </c>
      <c r="Q25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26" spans="1:17" x14ac:dyDescent="0.25">
      <c r="A26" s="1">
        <v>449.95537999999999</v>
      </c>
      <c r="B26" s="1">
        <v>226.58160000000001</v>
      </c>
      <c r="C26" s="1">
        <v>18.426580000000001</v>
      </c>
      <c r="D26" s="1">
        <v>286.54052000000001</v>
      </c>
      <c r="E26" s="1">
        <v>200.38239000000002</v>
      </c>
      <c r="F26" s="1">
        <v>31.393990000000002</v>
      </c>
      <c r="G26" s="1">
        <v>54.523440000000001</v>
      </c>
      <c r="H26" s="1">
        <v>57.990790000000004</v>
      </c>
      <c r="I26" s="1">
        <v>2.2980100000000001</v>
      </c>
      <c r="J26" s="1">
        <v>10.239450000000001</v>
      </c>
      <c r="K26" s="1">
        <v>61.555990000000001</v>
      </c>
      <c r="L26" s="1">
        <v>1154.87996</v>
      </c>
      <c r="M26" t="s">
        <v>142</v>
      </c>
      <c r="N26" t="s">
        <v>50</v>
      </c>
      <c r="O26">
        <v>2025</v>
      </c>
      <c r="P26">
        <v>3</v>
      </c>
      <c r="Q26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27" spans="1:17" x14ac:dyDescent="0.25">
      <c r="A27" s="1">
        <v>499.6438</v>
      </c>
      <c r="B27" s="1">
        <v>249.83115000000001</v>
      </c>
      <c r="C27" s="1">
        <v>25.353770000000001</v>
      </c>
      <c r="D27" s="1">
        <v>322.47665000000001</v>
      </c>
      <c r="E27" s="1">
        <v>231.98237</v>
      </c>
      <c r="F27" s="1">
        <v>33.868660000000006</v>
      </c>
      <c r="G27" s="1">
        <v>63.752580000000002</v>
      </c>
      <c r="H27" s="1">
        <v>66.453050000000005</v>
      </c>
      <c r="I27" s="1">
        <v>3.26953</v>
      </c>
      <c r="J27" s="1">
        <v>10.294979999999999</v>
      </c>
      <c r="K27" s="1">
        <v>65.57987</v>
      </c>
      <c r="L27" s="1">
        <v>1297.3214800000001</v>
      </c>
      <c r="M27" t="s">
        <v>142</v>
      </c>
      <c r="N27" t="s">
        <v>50</v>
      </c>
      <c r="O27">
        <v>2025</v>
      </c>
      <c r="P27">
        <v>4</v>
      </c>
      <c r="Q27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1.0000000202126103E-5</v>
      </c>
    </row>
    <row r="28" spans="1:17" x14ac:dyDescent="0.25">
      <c r="A28" s="1">
        <v>516.24</v>
      </c>
      <c r="B28" s="1">
        <v>256.18700000000001</v>
      </c>
      <c r="C28" s="1">
        <v>30.879000000000001</v>
      </c>
      <c r="D28" s="1">
        <v>344.70600000000002</v>
      </c>
      <c r="E28" s="1">
        <v>253.67599999999999</v>
      </c>
      <c r="F28" s="1">
        <v>28.702999999999999</v>
      </c>
      <c r="G28" s="1">
        <v>82.391999999999996</v>
      </c>
      <c r="H28" s="1">
        <v>62.29</v>
      </c>
      <c r="I28" s="1">
        <v>11.784000000000001</v>
      </c>
      <c r="J28" s="1">
        <v>14.95</v>
      </c>
      <c r="K28" s="1">
        <v>45.185000000000002</v>
      </c>
      <c r="L28" s="1">
        <v>1359.9259999999999</v>
      </c>
      <c r="M28" t="s">
        <v>134</v>
      </c>
      <c r="N28" t="s">
        <v>50</v>
      </c>
      <c r="O28">
        <v>2025</v>
      </c>
      <c r="P28">
        <v>1</v>
      </c>
      <c r="Q28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29" spans="1:17" x14ac:dyDescent="0.25">
      <c r="A29" s="1">
        <v>475.49718000000001</v>
      </c>
      <c r="B29" s="1">
        <v>239.30747</v>
      </c>
      <c r="C29" s="1">
        <v>21.425249999999998</v>
      </c>
      <c r="D29" s="1">
        <v>304.31657000000001</v>
      </c>
      <c r="E29" s="1">
        <v>204.88541000000001</v>
      </c>
      <c r="F29" s="1">
        <v>32.670970000000004</v>
      </c>
      <c r="G29" s="1">
        <v>60.423639999999999</v>
      </c>
      <c r="H29" s="1">
        <v>64.036839999999998</v>
      </c>
      <c r="I29" s="1">
        <v>2.2880199999999999</v>
      </c>
      <c r="J29" s="1">
        <v>56.400460000000002</v>
      </c>
      <c r="K29" s="1">
        <v>62.633230000000005</v>
      </c>
      <c r="L29" s="1">
        <v>1263.1523099999999</v>
      </c>
      <c r="M29" t="s">
        <v>142</v>
      </c>
      <c r="N29" t="s">
        <v>50</v>
      </c>
      <c r="O29">
        <v>2025</v>
      </c>
      <c r="P29">
        <v>2</v>
      </c>
      <c r="Q29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9.9999999747524271E-6</v>
      </c>
    </row>
    <row r="30" spans="1:17" x14ac:dyDescent="0.25">
      <c r="A30" s="1">
        <v>582.97</v>
      </c>
      <c r="B30" s="1">
        <v>372.65300000000002</v>
      </c>
      <c r="C30" s="1">
        <v>29.123000000000001</v>
      </c>
      <c r="D30" s="1">
        <v>468.76</v>
      </c>
      <c r="E30" s="1">
        <v>269.464</v>
      </c>
      <c r="F30" s="1">
        <v>33.371000000000002</v>
      </c>
      <c r="G30" s="1">
        <v>91.43</v>
      </c>
      <c r="H30" s="1">
        <v>56.186999999999998</v>
      </c>
      <c r="I30" s="1">
        <v>10.629</v>
      </c>
      <c r="J30" s="1">
        <v>17.25</v>
      </c>
      <c r="K30" s="1">
        <v>27.149000000000001</v>
      </c>
      <c r="L30" s="1">
        <v>1557.21</v>
      </c>
      <c r="M30" t="s">
        <v>134</v>
      </c>
      <c r="N30" t="s">
        <v>53</v>
      </c>
      <c r="O30">
        <v>2025</v>
      </c>
      <c r="P30">
        <v>1</v>
      </c>
      <c r="Q30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31" spans="1:17" x14ac:dyDescent="0.25">
      <c r="A31" s="1">
        <v>590.80408999999997</v>
      </c>
      <c r="B31" s="1">
        <v>422.11396000000002</v>
      </c>
      <c r="C31" s="1">
        <v>19.626990000000003</v>
      </c>
      <c r="D31" s="1">
        <v>519.39337999999998</v>
      </c>
      <c r="E31" s="1">
        <v>300.21134999999998</v>
      </c>
      <c r="F31" s="1">
        <v>21.99193</v>
      </c>
      <c r="G31" s="1">
        <v>31.48068</v>
      </c>
      <c r="H31" s="1">
        <v>92.762470000000008</v>
      </c>
      <c r="I31" s="1">
        <v>3.3463699999999998</v>
      </c>
      <c r="J31" s="1">
        <v>-3.0637300000000001</v>
      </c>
      <c r="K31" s="1">
        <v>33.023060000000001</v>
      </c>
      <c r="L31" s="1">
        <v>1589.9495900000002</v>
      </c>
      <c r="M31" t="s">
        <v>142</v>
      </c>
      <c r="N31" t="s">
        <v>64</v>
      </c>
      <c r="O31">
        <v>2025</v>
      </c>
      <c r="P31">
        <v>1</v>
      </c>
      <c r="Q31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9.9999997473787516E-6</v>
      </c>
    </row>
    <row r="32" spans="1:17" x14ac:dyDescent="0.25">
      <c r="A32" s="1">
        <v>2823.0512799999997</v>
      </c>
      <c r="B32" s="1">
        <v>1290.74352</v>
      </c>
      <c r="C32" s="1">
        <v>213.39985000000001</v>
      </c>
      <c r="D32" s="1">
        <v>1728.3947599999999</v>
      </c>
      <c r="E32" s="1">
        <v>1176.7360000000001</v>
      </c>
      <c r="F32" s="1">
        <v>163.68492000000001</v>
      </c>
      <c r="G32" s="1">
        <v>543.75351000000001</v>
      </c>
      <c r="H32" s="1">
        <v>276.68052</v>
      </c>
      <c r="I32" s="1">
        <v>17.122250000000001</v>
      </c>
      <c r="J32" s="1">
        <v>128.59542999999999</v>
      </c>
      <c r="K32" s="1">
        <v>1889.0367699999999</v>
      </c>
      <c r="L32" s="1">
        <v>8747.0554200000006</v>
      </c>
      <c r="M32" t="s">
        <v>105</v>
      </c>
      <c r="N32" t="s">
        <v>44</v>
      </c>
      <c r="O32">
        <v>2025</v>
      </c>
      <c r="P32">
        <v>1</v>
      </c>
      <c r="Q32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1.9999999494757503E-5</v>
      </c>
    </row>
    <row r="33" spans="1:17" x14ac:dyDescent="0.25">
      <c r="A33" s="1">
        <v>631.33695</v>
      </c>
      <c r="B33" s="1">
        <v>462.17576000000003</v>
      </c>
      <c r="C33" s="1">
        <v>25.397759999999998</v>
      </c>
      <c r="D33" s="1">
        <v>575.97069999999997</v>
      </c>
      <c r="E33" s="1">
        <v>389.64391999999998</v>
      </c>
      <c r="F33" s="1">
        <v>39.609989999999996</v>
      </c>
      <c r="G33" s="1">
        <v>38.401940000000003</v>
      </c>
      <c r="H33" s="1">
        <v>116.04958999999999</v>
      </c>
      <c r="I33" s="1">
        <v>3.5445199999999999</v>
      </c>
      <c r="J33" s="1">
        <v>-8.7779999999999997E-2</v>
      </c>
      <c r="K33" s="1">
        <v>34.126519999999999</v>
      </c>
      <c r="L33" s="1">
        <v>1828.5963400000001</v>
      </c>
      <c r="M33" t="s">
        <v>142</v>
      </c>
      <c r="N33" t="s">
        <v>53</v>
      </c>
      <c r="O33">
        <v>2025</v>
      </c>
      <c r="P33">
        <v>1</v>
      </c>
      <c r="Q33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9.9999997473787516E-6</v>
      </c>
    </row>
    <row r="34" spans="1:17" x14ac:dyDescent="0.25">
      <c r="A34" s="1">
        <v>2941.3616000000002</v>
      </c>
      <c r="B34" s="1">
        <v>1355.0522699999999</v>
      </c>
      <c r="C34" s="1">
        <v>218.07936999999998</v>
      </c>
      <c r="D34" s="1">
        <v>1801.1344199999999</v>
      </c>
      <c r="E34" s="1">
        <v>1310.2508600000001</v>
      </c>
      <c r="F34" s="1">
        <v>187.97904</v>
      </c>
      <c r="G34" s="1">
        <v>568.35118</v>
      </c>
      <c r="H34" s="1">
        <v>279.55728999999997</v>
      </c>
      <c r="I34" s="1">
        <v>14.431520000000001</v>
      </c>
      <c r="J34" s="1">
        <v>71.751410000000007</v>
      </c>
      <c r="K34" s="1">
        <v>1915.6464599999999</v>
      </c>
      <c r="L34" s="1">
        <v>9090.46378</v>
      </c>
      <c r="M34" t="s">
        <v>105</v>
      </c>
      <c r="N34" t="s">
        <v>44</v>
      </c>
      <c r="O34">
        <v>2025</v>
      </c>
      <c r="P34">
        <v>3</v>
      </c>
      <c r="Q34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35" spans="1:17" x14ac:dyDescent="0.25">
      <c r="A35" s="1">
        <v>533.79141000000004</v>
      </c>
      <c r="B35" s="1">
        <v>381.96406000000002</v>
      </c>
      <c r="C35" s="1">
        <v>13.944739999999999</v>
      </c>
      <c r="D35" s="1">
        <v>472.90159999999997</v>
      </c>
      <c r="E35" s="1">
        <v>209.77432000000002</v>
      </c>
      <c r="F35" s="1">
        <v>22.848569999999999</v>
      </c>
      <c r="G35" s="1">
        <v>25.751049999999999</v>
      </c>
      <c r="H35" s="1">
        <v>76.466619999999992</v>
      </c>
      <c r="I35" s="1">
        <v>2.7812299999999999</v>
      </c>
      <c r="J35" s="1">
        <v>8.3865300000000005</v>
      </c>
      <c r="K35" s="1">
        <v>25.54618</v>
      </c>
      <c r="L35" s="1">
        <v>1378.2475200000001</v>
      </c>
      <c r="M35" t="s">
        <v>142</v>
      </c>
      <c r="N35" t="s">
        <v>64</v>
      </c>
      <c r="O35">
        <v>2025</v>
      </c>
      <c r="P35">
        <v>3</v>
      </c>
      <c r="Q35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-9.9999999747524271E-6</v>
      </c>
    </row>
    <row r="36" spans="1:17" x14ac:dyDescent="0.25">
      <c r="A36" s="1">
        <v>634.21266000000003</v>
      </c>
      <c r="B36" s="1">
        <v>446.91196000000002</v>
      </c>
      <c r="C36" s="1">
        <v>22.22767</v>
      </c>
      <c r="D36" s="1">
        <v>558.15528000000006</v>
      </c>
      <c r="E36" s="1">
        <v>324.06909999999999</v>
      </c>
      <c r="F36" s="1">
        <v>25.84423</v>
      </c>
      <c r="G36" s="1">
        <v>36.568280000000001</v>
      </c>
      <c r="H36" s="1">
        <v>93.498809999999992</v>
      </c>
      <c r="I36" s="1">
        <v>3.56427</v>
      </c>
      <c r="J36" s="1">
        <v>13.571999999999999</v>
      </c>
      <c r="K36" s="1">
        <v>31.614369999999997</v>
      </c>
      <c r="L36" s="1">
        <v>1721.09899</v>
      </c>
      <c r="M36" t="s">
        <v>142</v>
      </c>
      <c r="N36" t="s">
        <v>64</v>
      </c>
      <c r="O36">
        <v>2025</v>
      </c>
      <c r="P36">
        <v>4</v>
      </c>
      <c r="Q36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9.9999999747524271E-6</v>
      </c>
    </row>
    <row r="37" spans="1:17" x14ac:dyDescent="0.25">
      <c r="A37" s="1">
        <v>2945.9441499999998</v>
      </c>
      <c r="B37" s="1">
        <v>1337.6779799999999</v>
      </c>
      <c r="C37" s="1">
        <v>186.34008</v>
      </c>
      <c r="D37" s="1">
        <v>1756.0007499999999</v>
      </c>
      <c r="E37" s="1">
        <v>1303.54774</v>
      </c>
      <c r="F37" s="1">
        <v>186.49663000000001</v>
      </c>
      <c r="G37" s="1">
        <v>570.96773999999994</v>
      </c>
      <c r="H37" s="1">
        <v>286.11109000000005</v>
      </c>
      <c r="I37" s="1">
        <v>14.572809999999999</v>
      </c>
      <c r="J37" s="1">
        <v>106.81178</v>
      </c>
      <c r="K37" s="1">
        <v>1867.4050199999999</v>
      </c>
      <c r="L37" s="1">
        <v>9037.8576999999987</v>
      </c>
      <c r="M37" t="s">
        <v>105</v>
      </c>
      <c r="N37" t="s">
        <v>44</v>
      </c>
      <c r="O37">
        <v>2025</v>
      </c>
      <c r="P37">
        <v>2</v>
      </c>
      <c r="Q37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9.9999997473787516E-6</v>
      </c>
    </row>
    <row r="38" spans="1:17" x14ac:dyDescent="0.25">
      <c r="A38" s="1">
        <v>529.18616000000009</v>
      </c>
      <c r="B38" s="1">
        <v>358.57552000000004</v>
      </c>
      <c r="C38" s="1">
        <v>15.90554</v>
      </c>
      <c r="D38" s="1">
        <v>449.82746000000003</v>
      </c>
      <c r="E38" s="1">
        <v>243.54312999999999</v>
      </c>
      <c r="F38" s="1">
        <v>21.531849999999999</v>
      </c>
      <c r="G38" s="1">
        <v>30.431540000000002</v>
      </c>
      <c r="H38" s="1">
        <v>78.647070000000014</v>
      </c>
      <c r="I38" s="1">
        <v>2.85433</v>
      </c>
      <c r="J38" s="1">
        <v>70.367910000000009</v>
      </c>
      <c r="K38" s="1">
        <v>28.582429999999999</v>
      </c>
      <c r="L38" s="1">
        <v>1454.9718799999998</v>
      </c>
      <c r="M38" t="s">
        <v>142</v>
      </c>
      <c r="N38" t="s">
        <v>64</v>
      </c>
      <c r="O38">
        <v>2025</v>
      </c>
      <c r="P38">
        <v>2</v>
      </c>
      <c r="Q38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39" spans="1:17" x14ac:dyDescent="0.25">
      <c r="A39" s="1">
        <v>871.73</v>
      </c>
      <c r="B39" s="1">
        <v>449.01</v>
      </c>
      <c r="C39" s="1">
        <v>32.101999999999997</v>
      </c>
      <c r="D39" s="1">
        <v>570.58000000000004</v>
      </c>
      <c r="E39" s="1">
        <v>356.69400000000002</v>
      </c>
      <c r="F39" s="1">
        <v>51.103000000000002</v>
      </c>
      <c r="G39" s="1">
        <v>121.925</v>
      </c>
      <c r="H39" s="1">
        <v>70.846999999999994</v>
      </c>
      <c r="I39" s="1">
        <v>13.829000000000001</v>
      </c>
      <c r="J39" s="1">
        <v>21.731000000000002</v>
      </c>
      <c r="K39" s="1">
        <v>56.645000000000003</v>
      </c>
      <c r="L39" s="1">
        <v>2135.0839999999998</v>
      </c>
      <c r="M39" t="s">
        <v>134</v>
      </c>
      <c r="N39" t="s">
        <v>53</v>
      </c>
      <c r="O39">
        <v>2025</v>
      </c>
      <c r="P39">
        <v>4</v>
      </c>
      <c r="Q39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40" spans="1:17" x14ac:dyDescent="0.25">
      <c r="A40" s="1">
        <v>3066.1680499999998</v>
      </c>
      <c r="B40" s="1">
        <v>1357.5895600000001</v>
      </c>
      <c r="C40" s="1">
        <v>207.22495999999998</v>
      </c>
      <c r="D40" s="1">
        <v>1806.8210800000002</v>
      </c>
      <c r="E40" s="1">
        <v>1336.4388200000001</v>
      </c>
      <c r="F40" s="1">
        <v>192.26376999999999</v>
      </c>
      <c r="G40" s="1">
        <v>550.47774000000004</v>
      </c>
      <c r="H40" s="1">
        <v>285.55053999999996</v>
      </c>
      <c r="I40" s="1">
        <v>15.67639</v>
      </c>
      <c r="J40" s="1">
        <v>126.18227</v>
      </c>
      <c r="K40" s="1">
        <v>1956.91282</v>
      </c>
      <c r="L40" s="1">
        <v>9336.4914600000011</v>
      </c>
      <c r="M40" t="s">
        <v>105</v>
      </c>
      <c r="N40" t="s">
        <v>44</v>
      </c>
      <c r="O40">
        <v>2025</v>
      </c>
      <c r="P40">
        <v>4</v>
      </c>
      <c r="Q40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1.9999999494757503E-5</v>
      </c>
    </row>
    <row r="41" spans="1:17" x14ac:dyDescent="0.25">
      <c r="A41" s="1">
        <v>3162.1709999999998</v>
      </c>
      <c r="B41" s="1">
        <v>1210.461</v>
      </c>
      <c r="C41" s="1">
        <v>100.06699999999999</v>
      </c>
      <c r="D41" s="1">
        <v>1339.769</v>
      </c>
      <c r="E41" s="1">
        <v>835.85699999999997</v>
      </c>
      <c r="F41" s="1">
        <v>180.678</v>
      </c>
      <c r="G41" s="1">
        <v>428.80900000000003</v>
      </c>
      <c r="H41" s="1">
        <v>376.71600000000001</v>
      </c>
      <c r="I41" s="1">
        <v>10.823</v>
      </c>
      <c r="J41" s="1">
        <v>69.995999999999995</v>
      </c>
      <c r="K41" s="1">
        <v>38.570999999999998</v>
      </c>
      <c r="L41" s="1">
        <v>6443.39</v>
      </c>
      <c r="M41" t="s">
        <v>99</v>
      </c>
      <c r="N41" t="s">
        <v>44</v>
      </c>
      <c r="O41">
        <v>2025</v>
      </c>
      <c r="P41">
        <v>1</v>
      </c>
      <c r="Q41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42" spans="1:17" x14ac:dyDescent="0.25">
      <c r="A42" s="1">
        <v>854.66720999999995</v>
      </c>
      <c r="B42" s="1">
        <v>628.63022999999998</v>
      </c>
      <c r="C42" s="1">
        <v>39.476349999999996</v>
      </c>
      <c r="D42" s="1">
        <v>812.53320999999994</v>
      </c>
      <c r="E42" s="1">
        <v>544.74331000000006</v>
      </c>
      <c r="F42" s="1">
        <v>58.159759999999999</v>
      </c>
      <c r="G42" s="1">
        <v>59.60239</v>
      </c>
      <c r="H42" s="1">
        <v>137.12785</v>
      </c>
      <c r="I42" s="1">
        <v>4.3705800000000004</v>
      </c>
      <c r="J42" s="1">
        <v>27.880700000000001</v>
      </c>
      <c r="K42" s="1">
        <v>46.54654</v>
      </c>
      <c r="L42" s="1">
        <v>2545.6315499999996</v>
      </c>
      <c r="M42" t="s">
        <v>142</v>
      </c>
      <c r="N42" t="s">
        <v>53</v>
      </c>
      <c r="O42">
        <v>2025</v>
      </c>
      <c r="P42">
        <v>4</v>
      </c>
      <c r="Q42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43" spans="1:17" x14ac:dyDescent="0.25">
      <c r="A43" s="1">
        <v>1072.8019999999999</v>
      </c>
      <c r="B43" s="1">
        <v>554.13199999999995</v>
      </c>
      <c r="C43" s="1">
        <v>33.636000000000003</v>
      </c>
      <c r="D43" s="1">
        <v>701.35400000000004</v>
      </c>
      <c r="E43" s="1">
        <v>474.642</v>
      </c>
      <c r="F43" s="1">
        <v>63.765999999999998</v>
      </c>
      <c r="G43" s="1">
        <v>148.99700000000001</v>
      </c>
      <c r="H43" s="1">
        <v>82.945999999999998</v>
      </c>
      <c r="I43" s="1">
        <v>15.127000000000001</v>
      </c>
      <c r="J43" s="1">
        <v>31.901</v>
      </c>
      <c r="K43" s="1">
        <v>41.343000000000004</v>
      </c>
      <c r="L43" s="1">
        <v>2632.8780000000002</v>
      </c>
      <c r="M43" t="s">
        <v>134</v>
      </c>
      <c r="N43" t="s">
        <v>53</v>
      </c>
      <c r="O43">
        <v>2025</v>
      </c>
      <c r="P43">
        <v>2</v>
      </c>
      <c r="Q43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44" spans="1:17" x14ac:dyDescent="0.25">
      <c r="A44" s="1">
        <v>1147.104</v>
      </c>
      <c r="B44" s="1">
        <v>626.03399999999999</v>
      </c>
      <c r="C44" s="1">
        <v>49.289000000000001</v>
      </c>
      <c r="D44" s="1">
        <v>797.97199999999998</v>
      </c>
      <c r="E44" s="1">
        <v>504.13799999999998</v>
      </c>
      <c r="F44" s="1">
        <v>72.152000000000001</v>
      </c>
      <c r="G44" s="1">
        <v>164.71899999999999</v>
      </c>
      <c r="H44" s="1">
        <v>92.942999999999998</v>
      </c>
      <c r="I44" s="1">
        <v>17.574000000000002</v>
      </c>
      <c r="J44" s="1">
        <v>33.024000000000001</v>
      </c>
      <c r="K44" s="1">
        <v>62.451000000000001</v>
      </c>
      <c r="L44" s="1">
        <v>2892.0770000000002</v>
      </c>
      <c r="M44" t="s">
        <v>134</v>
      </c>
      <c r="N44" t="s">
        <v>53</v>
      </c>
      <c r="O44">
        <v>2025</v>
      </c>
      <c r="P44">
        <v>3</v>
      </c>
      <c r="Q44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45" spans="1:17" x14ac:dyDescent="0.25">
      <c r="A45" s="1">
        <v>3323.982</v>
      </c>
      <c r="B45" s="1">
        <v>1299.4459999999999</v>
      </c>
      <c r="C45" s="1">
        <v>95.150999999999996</v>
      </c>
      <c r="D45" s="1">
        <v>1438.367</v>
      </c>
      <c r="E45" s="1">
        <v>848.98599999999999</v>
      </c>
      <c r="F45" s="1">
        <v>205.417</v>
      </c>
      <c r="G45" s="1">
        <v>431.43700000000001</v>
      </c>
      <c r="H45" s="1">
        <v>378.40899999999999</v>
      </c>
      <c r="I45" s="1">
        <v>10.425000000000001</v>
      </c>
      <c r="J45" s="1">
        <v>74.531000000000006</v>
      </c>
      <c r="K45" s="1">
        <v>36.536999999999999</v>
      </c>
      <c r="L45" s="1">
        <v>6748.0910000000003</v>
      </c>
      <c r="M45" t="s">
        <v>99</v>
      </c>
      <c r="N45" t="s">
        <v>44</v>
      </c>
      <c r="O45">
        <v>2025</v>
      </c>
      <c r="P45">
        <v>3</v>
      </c>
      <c r="Q45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46" spans="1:17" x14ac:dyDescent="0.25">
      <c r="A46" s="1">
        <v>1044.1449499999999</v>
      </c>
      <c r="B46" s="1">
        <v>782.44110000000001</v>
      </c>
      <c r="C46" s="1">
        <v>33.691110000000002</v>
      </c>
      <c r="D46" s="1">
        <v>990.91029000000003</v>
      </c>
      <c r="E46" s="1">
        <v>653.41419999999994</v>
      </c>
      <c r="F46" s="1">
        <v>70.151570000000007</v>
      </c>
      <c r="G46" s="1">
        <v>65.830929999999995</v>
      </c>
      <c r="H46" s="1">
        <v>167.72610999999998</v>
      </c>
      <c r="I46" s="1">
        <v>5.6172800000000001</v>
      </c>
      <c r="J46" s="1">
        <v>1.53999</v>
      </c>
      <c r="K46" s="1">
        <v>49.767110000000002</v>
      </c>
      <c r="L46" s="1">
        <v>3049.1024199999997</v>
      </c>
      <c r="M46" t="s">
        <v>142</v>
      </c>
      <c r="N46" t="s">
        <v>53</v>
      </c>
      <c r="O46">
        <v>2025</v>
      </c>
      <c r="P46">
        <v>3</v>
      </c>
      <c r="Q46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1.0000000202126103E-5</v>
      </c>
    </row>
    <row r="47" spans="1:17" x14ac:dyDescent="0.25">
      <c r="A47" s="1">
        <v>951.14688999999998</v>
      </c>
      <c r="B47" s="1">
        <v>678.33107999999993</v>
      </c>
      <c r="C47" s="1">
        <v>36.059910000000002</v>
      </c>
      <c r="D47" s="1">
        <v>868.08831000000009</v>
      </c>
      <c r="E47" s="1">
        <v>577.86116000000004</v>
      </c>
      <c r="F47" s="1">
        <v>61.859220000000001</v>
      </c>
      <c r="G47" s="1">
        <v>62.844250000000002</v>
      </c>
      <c r="H47" s="1">
        <v>159.70683</v>
      </c>
      <c r="I47" s="1">
        <v>5.2806600000000001</v>
      </c>
      <c r="J47" s="1">
        <v>139.62207999999998</v>
      </c>
      <c r="K47" s="1">
        <v>51.884339999999995</v>
      </c>
      <c r="L47" s="1">
        <v>2878.2937400000001</v>
      </c>
      <c r="M47" t="s">
        <v>142</v>
      </c>
      <c r="N47" t="s">
        <v>53</v>
      </c>
      <c r="O47">
        <v>2025</v>
      </c>
      <c r="P47">
        <v>2</v>
      </c>
      <c r="Q47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48" spans="1:17" x14ac:dyDescent="0.25">
      <c r="A48" s="1">
        <v>3496.11</v>
      </c>
      <c r="B48" s="1">
        <v>1304.4369999999999</v>
      </c>
      <c r="C48" s="1">
        <v>106.31100000000001</v>
      </c>
      <c r="D48" s="1">
        <v>1449.421</v>
      </c>
      <c r="E48" s="1">
        <v>868.9</v>
      </c>
      <c r="F48" s="1">
        <v>211.36</v>
      </c>
      <c r="G48" s="1">
        <v>421.09699999999998</v>
      </c>
      <c r="H48" s="1">
        <v>356.14</v>
      </c>
      <c r="I48" s="1">
        <v>10.612</v>
      </c>
      <c r="J48" s="1">
        <v>30.896000000000001</v>
      </c>
      <c r="K48" s="1">
        <v>53.945</v>
      </c>
      <c r="L48" s="1">
        <v>6898.4809999999998</v>
      </c>
      <c r="M48" t="s">
        <v>99</v>
      </c>
      <c r="N48" t="s">
        <v>44</v>
      </c>
      <c r="O48">
        <v>2025</v>
      </c>
      <c r="P48">
        <v>4</v>
      </c>
      <c r="Q48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49" spans="1:17" x14ac:dyDescent="0.25">
      <c r="A49" s="1">
        <v>3334.7089999999998</v>
      </c>
      <c r="B49" s="1">
        <v>1284.1099999999999</v>
      </c>
      <c r="C49" s="1">
        <v>89.290999999999997</v>
      </c>
      <c r="D49" s="1">
        <v>1410.9559999999999</v>
      </c>
      <c r="E49" s="1">
        <v>889.61199999999997</v>
      </c>
      <c r="F49" s="1">
        <v>198.24600000000001</v>
      </c>
      <c r="G49" s="1">
        <v>453.69799999999998</v>
      </c>
      <c r="H49" s="1">
        <v>378.935</v>
      </c>
      <c r="I49" s="1">
        <v>10.432</v>
      </c>
      <c r="J49" s="1">
        <v>82.51</v>
      </c>
      <c r="K49" s="1">
        <v>38.859000000000002</v>
      </c>
      <c r="L49" s="1">
        <v>6797.9570000000003</v>
      </c>
      <c r="M49" t="s">
        <v>99</v>
      </c>
      <c r="N49" t="s">
        <v>44</v>
      </c>
      <c r="O49">
        <v>2025</v>
      </c>
      <c r="P49">
        <v>2</v>
      </c>
      <c r="Q49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50" spans="1:17" x14ac:dyDescent="0.25">
      <c r="A50" s="1">
        <v>2676.9618999999998</v>
      </c>
      <c r="B50" s="1">
        <v>1223.69298</v>
      </c>
      <c r="C50" s="1">
        <v>144.76283999999998</v>
      </c>
      <c r="D50" s="1">
        <v>1580.4826699999999</v>
      </c>
      <c r="E50" s="1">
        <v>1330.0347199999999</v>
      </c>
      <c r="F50" s="1">
        <v>233.60085999999998</v>
      </c>
      <c r="G50" s="1">
        <v>465.78068000000002</v>
      </c>
      <c r="H50" s="1">
        <v>386.18795</v>
      </c>
      <c r="I50" s="1">
        <v>13.042669999999999</v>
      </c>
      <c r="J50" s="1">
        <v>10.881639999999999</v>
      </c>
      <c r="K50" s="1">
        <v>1145.4197199999999</v>
      </c>
      <c r="L50" s="1">
        <v>7842.3928099999994</v>
      </c>
      <c r="M50" t="s">
        <v>142</v>
      </c>
      <c r="N50" t="s">
        <v>44</v>
      </c>
      <c r="O50">
        <v>2025</v>
      </c>
      <c r="P50">
        <v>1</v>
      </c>
      <c r="Q50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51" spans="1:17" x14ac:dyDescent="0.25">
      <c r="A51" s="1">
        <v>2824.1435299999998</v>
      </c>
      <c r="B51" s="1">
        <v>1271.15344</v>
      </c>
      <c r="C51" s="1">
        <v>152.60930999999999</v>
      </c>
      <c r="D51" s="1">
        <v>1678.8319099999999</v>
      </c>
      <c r="E51" s="1">
        <v>1466.12815</v>
      </c>
      <c r="F51" s="1">
        <v>264.17912999999999</v>
      </c>
      <c r="G51" s="1">
        <v>552.04714000000001</v>
      </c>
      <c r="H51" s="1">
        <v>372.3494</v>
      </c>
      <c r="I51" s="1">
        <v>29.97259</v>
      </c>
      <c r="J51" s="1">
        <v>53.876169999999995</v>
      </c>
      <c r="K51" s="1">
        <v>1204.0856999999999</v>
      </c>
      <c r="L51" s="1">
        <v>8445.6137200000012</v>
      </c>
      <c r="M51" t="s">
        <v>142</v>
      </c>
      <c r="N51" t="s">
        <v>44</v>
      </c>
      <c r="O51">
        <v>2025</v>
      </c>
      <c r="P51">
        <v>4</v>
      </c>
      <c r="Q51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52" spans="1:17" x14ac:dyDescent="0.25">
      <c r="A52" s="1">
        <v>2831.5573199999999</v>
      </c>
      <c r="B52" s="1">
        <v>1270.0493600000002</v>
      </c>
      <c r="C52" s="1">
        <v>126.73855</v>
      </c>
      <c r="D52" s="1">
        <v>1640.1858</v>
      </c>
      <c r="E52" s="1">
        <v>1346.7651699999999</v>
      </c>
      <c r="F52" s="1">
        <v>269.00076000000001</v>
      </c>
      <c r="G52" s="1">
        <v>518.61073999999996</v>
      </c>
      <c r="H52" s="1">
        <v>365.88128</v>
      </c>
      <c r="I52" s="1">
        <v>17.292310000000001</v>
      </c>
      <c r="J52" s="1">
        <v>53.727739999999997</v>
      </c>
      <c r="K52" s="1">
        <v>1203.8991000000001</v>
      </c>
      <c r="L52" s="1">
        <v>8246.9202100000002</v>
      </c>
      <c r="M52" t="s">
        <v>142</v>
      </c>
      <c r="N52" t="s">
        <v>44</v>
      </c>
      <c r="O52">
        <v>2025</v>
      </c>
      <c r="P52">
        <v>3</v>
      </c>
      <c r="Q52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9.9999997473787516E-6</v>
      </c>
    </row>
    <row r="53" spans="1:17" x14ac:dyDescent="0.25">
      <c r="A53" s="1">
        <v>2761.9988599999997</v>
      </c>
      <c r="B53" s="1">
        <v>1195.88795</v>
      </c>
      <c r="C53" s="1">
        <v>149.64826000000002</v>
      </c>
      <c r="D53" s="1">
        <v>1582.8541699999998</v>
      </c>
      <c r="E53" s="1">
        <v>1364.97272</v>
      </c>
      <c r="F53" s="1">
        <v>247.93942999999999</v>
      </c>
      <c r="G53" s="1">
        <v>511.62781000000001</v>
      </c>
      <c r="H53" s="1">
        <v>373.79189000000002</v>
      </c>
      <c r="I53" s="1">
        <v>12.816780000000001</v>
      </c>
      <c r="J53" s="1">
        <v>294.61707000000001</v>
      </c>
      <c r="K53" s="1">
        <v>1163.2182399999999</v>
      </c>
      <c r="L53" s="1">
        <v>8313.8369700000003</v>
      </c>
      <c r="M53" t="s">
        <v>142</v>
      </c>
      <c r="N53" t="s">
        <v>44</v>
      </c>
      <c r="O53">
        <v>2025</v>
      </c>
      <c r="P53">
        <v>2</v>
      </c>
      <c r="Q53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54" spans="1:17" x14ac:dyDescent="0.25">
      <c r="A54" s="1">
        <v>3496.6669999999999</v>
      </c>
      <c r="B54" s="1">
        <v>1317.7190000000001</v>
      </c>
      <c r="C54" s="1">
        <v>137.16999999999999</v>
      </c>
      <c r="D54" s="1">
        <v>1800.06</v>
      </c>
      <c r="E54" s="1">
        <v>1622.251</v>
      </c>
      <c r="F54" s="1">
        <v>193.72499999999999</v>
      </c>
      <c r="G54" s="1">
        <v>483.35399999999998</v>
      </c>
      <c r="H54" s="1">
        <v>366.52100000000002</v>
      </c>
      <c r="I54" s="1">
        <v>66.840999999999994</v>
      </c>
      <c r="J54" s="1">
        <v>97.891000000000005</v>
      </c>
      <c r="K54" s="1">
        <v>2211.2060000000001</v>
      </c>
      <c r="L54" s="1">
        <v>10338.516</v>
      </c>
      <c r="M54" t="s">
        <v>134</v>
      </c>
      <c r="N54" t="s">
        <v>44</v>
      </c>
      <c r="O54">
        <v>2025</v>
      </c>
      <c r="P54">
        <v>2</v>
      </c>
      <c r="Q54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55" spans="1:17" x14ac:dyDescent="0.25">
      <c r="A55" s="1">
        <v>3459.3890000000001</v>
      </c>
      <c r="B55" s="1">
        <v>1345.1320000000001</v>
      </c>
      <c r="C55" s="1">
        <v>186.595</v>
      </c>
      <c r="D55" s="1">
        <v>1882.3130000000001</v>
      </c>
      <c r="E55" s="1">
        <v>1603.462</v>
      </c>
      <c r="F55" s="1">
        <v>206.23599999999999</v>
      </c>
      <c r="G55" s="1">
        <v>497.88299999999998</v>
      </c>
      <c r="H55" s="1">
        <v>369.47500000000002</v>
      </c>
      <c r="I55" s="1">
        <v>69.863</v>
      </c>
      <c r="J55" s="1">
        <v>94.97</v>
      </c>
      <c r="K55" s="1">
        <v>2532.1190000000001</v>
      </c>
      <c r="L55" s="1">
        <v>10715.71</v>
      </c>
      <c r="M55" t="s">
        <v>134</v>
      </c>
      <c r="N55" t="s">
        <v>44</v>
      </c>
      <c r="O55">
        <v>2025</v>
      </c>
      <c r="P55">
        <v>3</v>
      </c>
      <c r="Q55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56" spans="1:17" x14ac:dyDescent="0.25">
      <c r="A56" s="1">
        <v>3131.739</v>
      </c>
      <c r="B56" s="1">
        <v>1318.172</v>
      </c>
      <c r="C56" s="1">
        <v>183.15</v>
      </c>
      <c r="D56" s="1">
        <v>1862.7070000000001</v>
      </c>
      <c r="E56" s="1">
        <v>1551.3</v>
      </c>
      <c r="F56" s="1">
        <v>179.983</v>
      </c>
      <c r="G56" s="1">
        <v>509.87599999999998</v>
      </c>
      <c r="H56" s="1">
        <v>365.50799999999998</v>
      </c>
      <c r="I56" s="1">
        <v>69.147000000000006</v>
      </c>
      <c r="J56" s="1">
        <v>93.543000000000006</v>
      </c>
      <c r="K56" s="1">
        <v>2025.3140000000001</v>
      </c>
      <c r="L56" s="1">
        <v>9789.1170000000002</v>
      </c>
      <c r="M56" t="s">
        <v>134</v>
      </c>
      <c r="N56" t="s">
        <v>44</v>
      </c>
      <c r="O56">
        <v>2025</v>
      </c>
      <c r="P56">
        <v>1</v>
      </c>
      <c r="Q56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57" spans="1:17" x14ac:dyDescent="0.25">
      <c r="A57" s="1">
        <v>3690.1010000000001</v>
      </c>
      <c r="B57" s="1">
        <v>1308.96</v>
      </c>
      <c r="C57" s="1">
        <v>164.34800000000001</v>
      </c>
      <c r="D57" s="1">
        <v>1842.152</v>
      </c>
      <c r="E57" s="1">
        <v>1596.5940000000001</v>
      </c>
      <c r="F57" s="1">
        <v>210.67</v>
      </c>
      <c r="G57" s="1">
        <v>525.78200000000004</v>
      </c>
      <c r="H57" s="1">
        <v>381.86399999999998</v>
      </c>
      <c r="I57" s="1">
        <v>74.534000000000006</v>
      </c>
      <c r="J57" s="1">
        <v>90.126999999999995</v>
      </c>
      <c r="K57" s="1">
        <v>2397.8090000000002</v>
      </c>
      <c r="L57" s="1">
        <v>10809.633</v>
      </c>
      <c r="M57" t="s">
        <v>134</v>
      </c>
      <c r="N57" t="s">
        <v>44</v>
      </c>
      <c r="O57">
        <v>2025</v>
      </c>
      <c r="P57">
        <v>4</v>
      </c>
      <c r="Q57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58" spans="1:17" x14ac:dyDescent="0.25">
      <c r="A58" s="1">
        <v>2996.7640000000001</v>
      </c>
      <c r="B58" s="1">
        <v>1481.7660000000001</v>
      </c>
      <c r="C58" s="1">
        <v>107.63200000000001</v>
      </c>
      <c r="D58" s="1">
        <v>1619.653</v>
      </c>
      <c r="E58" s="1">
        <v>863.20100000000002</v>
      </c>
      <c r="F58" s="1">
        <v>165.673</v>
      </c>
      <c r="G58" s="1">
        <v>351.80200000000002</v>
      </c>
      <c r="H58" s="1">
        <v>385.30700000000002</v>
      </c>
      <c r="I58" s="1">
        <v>12.978999999999999</v>
      </c>
      <c r="J58" s="1">
        <v>74.712999999999994</v>
      </c>
      <c r="K58" s="1">
        <v>32.917000000000002</v>
      </c>
      <c r="L58" s="1">
        <v>6503.009</v>
      </c>
      <c r="M58" t="s">
        <v>99</v>
      </c>
      <c r="N58" t="s">
        <v>44</v>
      </c>
      <c r="O58">
        <v>2024</v>
      </c>
      <c r="P58">
        <v>1</v>
      </c>
      <c r="Q58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59" spans="1:17" x14ac:dyDescent="0.25">
      <c r="A59" s="1">
        <v>100.57899999999999</v>
      </c>
      <c r="B59" s="1">
        <v>49.731000000000002</v>
      </c>
      <c r="C59" s="1">
        <v>3.6120000000000001</v>
      </c>
      <c r="D59" s="1">
        <v>54.357999999999997</v>
      </c>
      <c r="E59" s="1">
        <v>28.971</v>
      </c>
      <c r="F59" s="1">
        <v>5.56</v>
      </c>
      <c r="G59" s="1">
        <v>11.807</v>
      </c>
      <c r="H59" s="1">
        <v>12.932</v>
      </c>
      <c r="I59" s="1">
        <v>0.435</v>
      </c>
      <c r="J59" s="1">
        <v>2.508</v>
      </c>
      <c r="K59" s="1">
        <v>1.1060000000000001</v>
      </c>
      <c r="L59" s="1">
        <v>218.256</v>
      </c>
      <c r="M59" t="s">
        <v>99</v>
      </c>
      <c r="N59" t="s">
        <v>50</v>
      </c>
      <c r="O59">
        <v>2024</v>
      </c>
      <c r="P59">
        <v>1</v>
      </c>
      <c r="Q59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60" spans="1:17" x14ac:dyDescent="0.25">
      <c r="A60" s="1">
        <v>101.33199999999999</v>
      </c>
      <c r="B60" s="1">
        <v>51.281999999999996</v>
      </c>
      <c r="C60" s="1">
        <v>3.7309999999999999</v>
      </c>
      <c r="D60" s="1">
        <v>56.313000000000002</v>
      </c>
      <c r="E60" s="1">
        <v>29.556000000000001</v>
      </c>
      <c r="F60" s="1">
        <v>6.1429999999999998</v>
      </c>
      <c r="G60" s="1">
        <v>12.423999999999999</v>
      </c>
      <c r="H60" s="1">
        <v>12.901999999999999</v>
      </c>
      <c r="I60" s="1">
        <v>0.39600000000000002</v>
      </c>
      <c r="J60" s="1">
        <v>2.9</v>
      </c>
      <c r="K60" s="1">
        <v>1.1679999999999999</v>
      </c>
      <c r="L60" s="1">
        <v>223.13399999999999</v>
      </c>
      <c r="M60" t="s">
        <v>99</v>
      </c>
      <c r="N60" t="s">
        <v>50</v>
      </c>
      <c r="O60">
        <v>2024</v>
      </c>
      <c r="P60">
        <v>2</v>
      </c>
      <c r="Q60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61" spans="1:17" x14ac:dyDescent="0.25">
      <c r="A61" s="1">
        <v>83.918000000000006</v>
      </c>
      <c r="B61" s="1">
        <v>31.268000000000001</v>
      </c>
      <c r="C61" s="1">
        <v>2.5840000000000001</v>
      </c>
      <c r="D61" s="1">
        <v>34.814999999999998</v>
      </c>
      <c r="E61" s="1">
        <v>21.262</v>
      </c>
      <c r="F61" s="1">
        <v>4.7910000000000004</v>
      </c>
      <c r="G61" s="1">
        <v>9.5050000000000008</v>
      </c>
      <c r="H61" s="1">
        <v>9.7189999999999994</v>
      </c>
      <c r="I61" s="1">
        <v>0.307</v>
      </c>
      <c r="J61" s="1">
        <v>-0.70199999999999996</v>
      </c>
      <c r="K61" s="1">
        <v>0.89</v>
      </c>
      <c r="L61" s="1">
        <v>164.505</v>
      </c>
      <c r="M61" t="s">
        <v>99</v>
      </c>
      <c r="N61" t="s">
        <v>50</v>
      </c>
      <c r="O61">
        <v>2024</v>
      </c>
      <c r="P61">
        <v>4</v>
      </c>
      <c r="Q61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62" spans="1:17" x14ac:dyDescent="0.25">
      <c r="A62" s="1">
        <v>156.51847000000001</v>
      </c>
      <c r="B62" s="1">
        <v>89.938789999999997</v>
      </c>
      <c r="C62" s="1">
        <v>12.762090000000001</v>
      </c>
      <c r="D62" s="1">
        <v>115.29532</v>
      </c>
      <c r="E62" s="1">
        <v>71.168050000000008</v>
      </c>
      <c r="F62" s="1">
        <v>9.9006699999999999</v>
      </c>
      <c r="G62" s="1">
        <v>31.913650000000001</v>
      </c>
      <c r="H62" s="1">
        <v>16.212720000000001</v>
      </c>
      <c r="I62" s="1">
        <v>0.97309000000000001</v>
      </c>
      <c r="J62" s="1">
        <v>26.55349</v>
      </c>
      <c r="K62" s="1">
        <v>1.3535599999999999</v>
      </c>
      <c r="L62" s="1">
        <v>429.88903000000005</v>
      </c>
      <c r="M62" t="s">
        <v>105</v>
      </c>
      <c r="N62" t="s">
        <v>64</v>
      </c>
      <c r="O62">
        <v>2024</v>
      </c>
      <c r="P62">
        <v>3</v>
      </c>
      <c r="Q62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-9.9999999747524271E-6</v>
      </c>
    </row>
    <row r="63" spans="1:17" x14ac:dyDescent="0.25">
      <c r="A63" s="1">
        <v>134.07696999999999</v>
      </c>
      <c r="B63" s="1">
        <v>83.520189999999999</v>
      </c>
      <c r="C63" s="1">
        <v>11.87285</v>
      </c>
      <c r="D63" s="1">
        <v>106.44552</v>
      </c>
      <c r="E63" s="1">
        <v>60.20176</v>
      </c>
      <c r="F63" s="1">
        <v>9.1399400000000011</v>
      </c>
      <c r="G63" s="1">
        <v>27.494709999999998</v>
      </c>
      <c r="H63" s="1">
        <v>14.173440000000001</v>
      </c>
      <c r="I63" s="1">
        <v>0.86269000000000007</v>
      </c>
      <c r="J63" s="1">
        <v>4.4722200000000001</v>
      </c>
      <c r="K63" s="1">
        <v>1.23827</v>
      </c>
      <c r="L63" s="1">
        <v>358.10552000000001</v>
      </c>
      <c r="M63" t="s">
        <v>105</v>
      </c>
      <c r="N63" t="s">
        <v>64</v>
      </c>
      <c r="O63">
        <v>2024</v>
      </c>
      <c r="P63">
        <v>2</v>
      </c>
      <c r="Q63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64" spans="1:17" x14ac:dyDescent="0.25">
      <c r="A64" s="1">
        <v>171.36792000000003</v>
      </c>
      <c r="B64" s="1">
        <v>105.21932000000001</v>
      </c>
      <c r="C64" s="1">
        <v>13.311159999999999</v>
      </c>
      <c r="D64" s="1">
        <v>132.56177</v>
      </c>
      <c r="E64" s="1">
        <v>74.363020000000006</v>
      </c>
      <c r="F64" s="1">
        <v>10.28126</v>
      </c>
      <c r="G64" s="1">
        <v>37.484760000000001</v>
      </c>
      <c r="H64" s="1">
        <v>18.426680000000001</v>
      </c>
      <c r="I64" s="1">
        <v>1.0373599999999998</v>
      </c>
      <c r="J64" s="1">
        <v>7.7056199999999997</v>
      </c>
      <c r="K64" s="1">
        <v>1.2412000000000001</v>
      </c>
      <c r="L64" s="1">
        <v>454.46958000000001</v>
      </c>
      <c r="M64" t="s">
        <v>105</v>
      </c>
      <c r="N64" t="s">
        <v>64</v>
      </c>
      <c r="O64">
        <v>2024</v>
      </c>
      <c r="P64">
        <v>1</v>
      </c>
      <c r="Q64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9.9999999747524271E-6</v>
      </c>
    </row>
    <row r="65" spans="1:17" x14ac:dyDescent="0.25">
      <c r="A65" s="1">
        <v>87.162999999999997</v>
      </c>
      <c r="B65" s="1">
        <v>38.176000000000002</v>
      </c>
      <c r="C65" s="1">
        <v>2.6230000000000002</v>
      </c>
      <c r="D65" s="1">
        <v>41.844000000000001</v>
      </c>
      <c r="E65" s="1">
        <v>24.05</v>
      </c>
      <c r="F65" s="1">
        <v>5.15</v>
      </c>
      <c r="G65" s="1">
        <v>10.079000000000001</v>
      </c>
      <c r="H65" s="1">
        <v>11.497</v>
      </c>
      <c r="I65" s="1">
        <v>0.33800000000000002</v>
      </c>
      <c r="J65" s="1">
        <v>2.9740000000000002</v>
      </c>
      <c r="K65" s="1">
        <v>0.94099999999999995</v>
      </c>
      <c r="L65" s="1">
        <v>184.036</v>
      </c>
      <c r="M65" t="s">
        <v>99</v>
      </c>
      <c r="N65" t="s">
        <v>50</v>
      </c>
      <c r="O65">
        <v>2024</v>
      </c>
      <c r="P65">
        <v>3</v>
      </c>
      <c r="Q65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66" spans="1:17" x14ac:dyDescent="0.25">
      <c r="A66" s="1">
        <v>209.13607999999999</v>
      </c>
      <c r="B66" s="1">
        <v>103.34876</v>
      </c>
      <c r="C66" s="1">
        <v>17.295680000000001</v>
      </c>
      <c r="D66" s="1">
        <v>136.75321</v>
      </c>
      <c r="E66" s="1">
        <v>95.197770000000006</v>
      </c>
      <c r="F66" s="1">
        <v>12.72085</v>
      </c>
      <c r="G66" s="1">
        <v>38.870239999999995</v>
      </c>
      <c r="H66" s="1">
        <v>22.635180000000002</v>
      </c>
      <c r="I66" s="1">
        <v>1.47326</v>
      </c>
      <c r="J66" s="1">
        <v>1.8472200000000001</v>
      </c>
      <c r="K66" s="1">
        <v>1.71356</v>
      </c>
      <c r="L66" s="1">
        <v>520.34736999999996</v>
      </c>
      <c r="M66" t="s">
        <v>105</v>
      </c>
      <c r="N66" t="s">
        <v>64</v>
      </c>
      <c r="O66">
        <v>2024</v>
      </c>
      <c r="P66">
        <v>4</v>
      </c>
      <c r="Q66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67" spans="1:17" x14ac:dyDescent="0.25">
      <c r="A67" s="1">
        <v>547.65615000000003</v>
      </c>
      <c r="B67" s="1">
        <v>282.93083000000001</v>
      </c>
      <c r="C67" s="1">
        <v>44.756149999999998</v>
      </c>
      <c r="D67" s="1">
        <v>371.99796999999995</v>
      </c>
      <c r="E67" s="1">
        <v>249.77555999999998</v>
      </c>
      <c r="F67" s="1">
        <v>35.141379999999998</v>
      </c>
      <c r="G67" s="1">
        <v>111.98924000000001</v>
      </c>
      <c r="H67" s="1">
        <v>56.594949999999997</v>
      </c>
      <c r="I67" s="1">
        <v>3.4069199999999999</v>
      </c>
      <c r="J67" s="1">
        <v>78.111240000000009</v>
      </c>
      <c r="K67" s="1">
        <v>4.7607400000000002</v>
      </c>
      <c r="L67" s="1">
        <v>1459.4341399999998</v>
      </c>
      <c r="M67" t="s">
        <v>105</v>
      </c>
      <c r="N67" t="s">
        <v>50</v>
      </c>
      <c r="O67">
        <v>2024</v>
      </c>
      <c r="P67">
        <v>3</v>
      </c>
      <c r="Q67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9.9999999747524271E-6</v>
      </c>
    </row>
    <row r="68" spans="1:17" x14ac:dyDescent="0.25">
      <c r="A68" s="1">
        <v>583.98953000000006</v>
      </c>
      <c r="B68" s="1">
        <v>389.04843</v>
      </c>
      <c r="C68" s="1">
        <v>45.372410000000002</v>
      </c>
      <c r="D68" s="1">
        <v>482.6379</v>
      </c>
      <c r="E68" s="1">
        <v>255.94048999999998</v>
      </c>
      <c r="F68" s="1">
        <v>35.3476</v>
      </c>
      <c r="G68" s="1">
        <v>128.09314000000001</v>
      </c>
      <c r="H68" s="1">
        <v>63.041059999999995</v>
      </c>
      <c r="I68" s="1">
        <v>3.5559600000000002</v>
      </c>
      <c r="J68" s="1">
        <v>24.7576</v>
      </c>
      <c r="K68" s="1">
        <v>4.2094399999999998</v>
      </c>
      <c r="L68" s="1">
        <v>1581.5727099999999</v>
      </c>
      <c r="M68" t="s">
        <v>105</v>
      </c>
      <c r="N68" t="s">
        <v>53</v>
      </c>
      <c r="O68">
        <v>2024</v>
      </c>
      <c r="P68">
        <v>1</v>
      </c>
      <c r="Q68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9.9999999747524271E-6</v>
      </c>
    </row>
    <row r="69" spans="1:17" x14ac:dyDescent="0.25">
      <c r="A69" s="1">
        <v>597.81216000000006</v>
      </c>
      <c r="B69" s="1">
        <v>339.24063000000001</v>
      </c>
      <c r="C69" s="1">
        <v>52.840260000000001</v>
      </c>
      <c r="D69" s="1">
        <v>441.37933000000004</v>
      </c>
      <c r="E69" s="1">
        <v>268.52163000000002</v>
      </c>
      <c r="F69" s="1">
        <v>40.857610000000001</v>
      </c>
      <c r="G69" s="1">
        <v>122.39767000000001</v>
      </c>
      <c r="H69" s="1">
        <v>63.208580000000005</v>
      </c>
      <c r="I69" s="1">
        <v>3.8489800000000001</v>
      </c>
      <c r="J69" s="1">
        <v>19.801909999999999</v>
      </c>
      <c r="K69" s="1">
        <v>5.5246000000000004</v>
      </c>
      <c r="L69" s="1">
        <v>1563.35248</v>
      </c>
      <c r="M69" t="s">
        <v>105</v>
      </c>
      <c r="N69" t="s">
        <v>50</v>
      </c>
      <c r="O69">
        <v>2024</v>
      </c>
      <c r="P69">
        <v>2</v>
      </c>
      <c r="Q69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-9.9999999747524271E-6</v>
      </c>
    </row>
    <row r="70" spans="1:17" x14ac:dyDescent="0.25">
      <c r="A70" s="1">
        <v>742.5618199999999</v>
      </c>
      <c r="B70" s="1">
        <v>431.91525999999999</v>
      </c>
      <c r="C70" s="1">
        <v>57.678179999999998</v>
      </c>
      <c r="D70" s="1">
        <v>550.5521</v>
      </c>
      <c r="E70" s="1">
        <v>323.25450000000001</v>
      </c>
      <c r="F70" s="1">
        <v>44.685519999999997</v>
      </c>
      <c r="G70" s="1">
        <v>162.60086999999999</v>
      </c>
      <c r="H70" s="1">
        <v>79.952780000000004</v>
      </c>
      <c r="I70" s="1">
        <v>4.5046599999999994</v>
      </c>
      <c r="J70" s="1">
        <v>32.651150000000001</v>
      </c>
      <c r="K70" s="1">
        <v>5.3690299999999995</v>
      </c>
      <c r="L70" s="1">
        <v>1946.1324299999999</v>
      </c>
      <c r="M70" t="s">
        <v>105</v>
      </c>
      <c r="N70" t="s">
        <v>50</v>
      </c>
      <c r="O70">
        <v>2024</v>
      </c>
      <c r="P70">
        <v>1</v>
      </c>
      <c r="Q70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71" spans="1:17" x14ac:dyDescent="0.25">
      <c r="A71" s="1">
        <v>656.22970999999995</v>
      </c>
      <c r="B71" s="1">
        <v>341.15681999999998</v>
      </c>
      <c r="C71" s="1">
        <v>53.449300000000001</v>
      </c>
      <c r="D71" s="1">
        <v>445.94571999999999</v>
      </c>
      <c r="E71" s="1">
        <v>299.95510999999999</v>
      </c>
      <c r="F71" s="1">
        <v>40.572279999999999</v>
      </c>
      <c r="G71" s="1">
        <v>124.92417999999999</v>
      </c>
      <c r="H71" s="1">
        <v>71.21181</v>
      </c>
      <c r="I71" s="1">
        <v>4.6623700000000001</v>
      </c>
      <c r="J71" s="1">
        <v>12.00474</v>
      </c>
      <c r="K71" s="1">
        <v>5.3632100000000005</v>
      </c>
      <c r="L71" s="1">
        <v>1660.8691299999998</v>
      </c>
      <c r="M71" t="s">
        <v>105</v>
      </c>
      <c r="N71" t="s">
        <v>53</v>
      </c>
      <c r="O71">
        <v>2024</v>
      </c>
      <c r="P71">
        <v>4</v>
      </c>
      <c r="Q71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72" spans="1:17" x14ac:dyDescent="0.25">
      <c r="A72" s="1">
        <v>695.90912000000003</v>
      </c>
      <c r="B72" s="1">
        <v>310.35766999999998</v>
      </c>
      <c r="C72" s="1">
        <v>57.68188</v>
      </c>
      <c r="D72" s="1">
        <v>421.52908000000002</v>
      </c>
      <c r="E72" s="1">
        <v>316.52941999999996</v>
      </c>
      <c r="F72" s="1">
        <v>42.225749999999998</v>
      </c>
      <c r="G72" s="1">
        <v>129.06493</v>
      </c>
      <c r="H72" s="1">
        <v>75.331009999999992</v>
      </c>
      <c r="I72" s="1">
        <v>4.9006800000000004</v>
      </c>
      <c r="J72" s="1">
        <v>5.1765600000000003</v>
      </c>
      <c r="K72" s="1">
        <v>5.7019399999999996</v>
      </c>
      <c r="L72" s="1">
        <v>1696.3684800000001</v>
      </c>
      <c r="M72" t="s">
        <v>105</v>
      </c>
      <c r="N72" t="s">
        <v>50</v>
      </c>
      <c r="O72">
        <v>2024</v>
      </c>
      <c r="P72">
        <v>4</v>
      </c>
      <c r="Q72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9.9999997473787516E-6</v>
      </c>
    </row>
    <row r="73" spans="1:17" x14ac:dyDescent="0.25">
      <c r="A73" s="1">
        <v>922.03650000000005</v>
      </c>
      <c r="B73" s="1">
        <v>542.69137000000001</v>
      </c>
      <c r="C73" s="1">
        <v>75.240669999999994</v>
      </c>
      <c r="D73" s="1">
        <v>692.27094</v>
      </c>
      <c r="E73" s="1">
        <v>419.69596999999999</v>
      </c>
      <c r="F73" s="1">
        <v>58.625169999999997</v>
      </c>
      <c r="G73" s="1">
        <v>188.19255999999999</v>
      </c>
      <c r="H73" s="1">
        <v>95.42461999999999</v>
      </c>
      <c r="I73" s="1">
        <v>5.7336499999999999</v>
      </c>
      <c r="J73" s="1">
        <v>147.44948000000002</v>
      </c>
      <c r="K73" s="1">
        <v>7.9883699999999997</v>
      </c>
      <c r="L73" s="1">
        <v>2537.4172599999997</v>
      </c>
      <c r="M73" t="s">
        <v>105</v>
      </c>
      <c r="N73" t="s">
        <v>53</v>
      </c>
      <c r="O73">
        <v>2024</v>
      </c>
      <c r="P73">
        <v>3</v>
      </c>
      <c r="Q73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74" spans="1:17" x14ac:dyDescent="0.25">
      <c r="A74" s="1">
        <v>849.20629000000008</v>
      </c>
      <c r="B74" s="1">
        <v>549.22116000000005</v>
      </c>
      <c r="C74" s="1">
        <v>74.628219999999999</v>
      </c>
      <c r="D74" s="1">
        <v>693.96668</v>
      </c>
      <c r="E74" s="1">
        <v>381.76659999999998</v>
      </c>
      <c r="F74" s="1">
        <v>58.361280000000001</v>
      </c>
      <c r="G74" s="1">
        <v>173.01748000000001</v>
      </c>
      <c r="H74" s="1">
        <v>89.736440000000002</v>
      </c>
      <c r="I74" s="1">
        <v>5.46943</v>
      </c>
      <c r="J74" s="1">
        <v>27.724930000000001</v>
      </c>
      <c r="K74" s="1">
        <v>7.8681200000000002</v>
      </c>
      <c r="L74" s="1">
        <v>2287.11724</v>
      </c>
      <c r="M74" t="s">
        <v>105</v>
      </c>
      <c r="N74" t="s">
        <v>53</v>
      </c>
      <c r="O74">
        <v>2024</v>
      </c>
      <c r="P74">
        <v>2</v>
      </c>
      <c r="Q74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1.0000000202126103E-5</v>
      </c>
    </row>
    <row r="75" spans="1:17" x14ac:dyDescent="0.25">
      <c r="A75" s="1">
        <v>250.904</v>
      </c>
      <c r="B75" s="1">
        <v>156.65700000000001</v>
      </c>
      <c r="C75" s="1">
        <v>11.807</v>
      </c>
      <c r="D75" s="1">
        <v>194.35300000000001</v>
      </c>
      <c r="E75" s="1">
        <v>105.017</v>
      </c>
      <c r="F75" s="1">
        <v>13.712</v>
      </c>
      <c r="G75" s="1">
        <v>30.594000000000001</v>
      </c>
      <c r="H75" s="1">
        <v>19.797999999999998</v>
      </c>
      <c r="I75" s="1">
        <v>4.2729999999999997</v>
      </c>
      <c r="J75" s="1">
        <v>6.7750000000000004</v>
      </c>
      <c r="K75" s="1">
        <v>17.914000000000001</v>
      </c>
      <c r="L75" s="1">
        <v>643.34</v>
      </c>
      <c r="M75" t="s">
        <v>134</v>
      </c>
      <c r="N75" t="s">
        <v>64</v>
      </c>
      <c r="O75">
        <v>2024</v>
      </c>
      <c r="P75">
        <v>2</v>
      </c>
      <c r="Q75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76" spans="1:17" x14ac:dyDescent="0.25">
      <c r="A76" s="1">
        <v>266.57900000000001</v>
      </c>
      <c r="B76" s="1">
        <v>164.59700000000001</v>
      </c>
      <c r="C76" s="1">
        <v>13.419</v>
      </c>
      <c r="D76" s="1">
        <v>205.20699999999999</v>
      </c>
      <c r="E76" s="1">
        <v>107.794</v>
      </c>
      <c r="F76" s="1">
        <v>14.757</v>
      </c>
      <c r="G76" s="1">
        <v>34.860999999999997</v>
      </c>
      <c r="H76" s="1">
        <v>22.706</v>
      </c>
      <c r="I76" s="1">
        <v>4.1520000000000001</v>
      </c>
      <c r="J76" s="1">
        <v>13.742000000000001</v>
      </c>
      <c r="K76" s="1">
        <v>16.248000000000001</v>
      </c>
      <c r="L76" s="1">
        <v>686.04600000000005</v>
      </c>
      <c r="M76" t="s">
        <v>134</v>
      </c>
      <c r="N76" t="s">
        <v>64</v>
      </c>
      <c r="O76">
        <v>2024</v>
      </c>
      <c r="P76">
        <v>3</v>
      </c>
      <c r="Q76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77" spans="1:17" x14ac:dyDescent="0.25">
      <c r="A77" s="1">
        <v>245.72800000000001</v>
      </c>
      <c r="B77" s="1">
        <v>170.10499999999999</v>
      </c>
      <c r="C77" s="1">
        <v>14.359</v>
      </c>
      <c r="D77" s="1">
        <v>211.714</v>
      </c>
      <c r="E77" s="1">
        <v>106.623</v>
      </c>
      <c r="F77" s="1">
        <v>12.721</v>
      </c>
      <c r="G77" s="1">
        <v>35.055999999999997</v>
      </c>
      <c r="H77" s="1">
        <v>22.948</v>
      </c>
      <c r="I77" s="1">
        <v>5.1470000000000002</v>
      </c>
      <c r="J77" s="1">
        <v>6.8029999999999999</v>
      </c>
      <c r="K77" s="1">
        <v>20.163</v>
      </c>
      <c r="L77" s="1">
        <v>666.90300000000002</v>
      </c>
      <c r="M77" t="s">
        <v>134</v>
      </c>
      <c r="N77" t="s">
        <v>64</v>
      </c>
      <c r="O77">
        <v>2024</v>
      </c>
      <c r="P77">
        <v>1</v>
      </c>
      <c r="Q77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78" spans="1:17" x14ac:dyDescent="0.25">
      <c r="A78" s="1">
        <v>291.86799999999999</v>
      </c>
      <c r="B78" s="1">
        <v>166.34800000000001</v>
      </c>
      <c r="C78" s="1">
        <v>12.615</v>
      </c>
      <c r="D78" s="1">
        <v>208.05699999999999</v>
      </c>
      <c r="E78" s="1">
        <v>118.45699999999999</v>
      </c>
      <c r="F78" s="1">
        <v>15.111000000000001</v>
      </c>
      <c r="G78" s="1">
        <v>36.823999999999998</v>
      </c>
      <c r="H78" s="1">
        <v>25.614000000000001</v>
      </c>
      <c r="I78" s="1">
        <v>4.6230000000000002</v>
      </c>
      <c r="J78" s="1">
        <v>9.1869999999999994</v>
      </c>
      <c r="K78" s="1">
        <v>17.486000000000001</v>
      </c>
      <c r="L78" s="1">
        <v>727.22699999999998</v>
      </c>
      <c r="M78" t="s">
        <v>134</v>
      </c>
      <c r="N78" t="s">
        <v>64</v>
      </c>
      <c r="O78">
        <v>2024</v>
      </c>
      <c r="P78">
        <v>4</v>
      </c>
      <c r="Q78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79" spans="1:17" x14ac:dyDescent="0.25">
      <c r="A79" s="1">
        <v>290.83</v>
      </c>
      <c r="B79" s="1">
        <v>159.809</v>
      </c>
      <c r="C79" s="1">
        <v>20.026</v>
      </c>
      <c r="D79" s="1">
        <v>209.24100000000001</v>
      </c>
      <c r="E79" s="1">
        <v>130.596</v>
      </c>
      <c r="F79" s="1">
        <v>15.939</v>
      </c>
      <c r="G79" s="1">
        <v>40.435000000000002</v>
      </c>
      <c r="H79" s="1">
        <v>35.572000000000003</v>
      </c>
      <c r="I79" s="1">
        <v>6.5030000000000001</v>
      </c>
      <c r="J79" s="1">
        <v>14.936999999999999</v>
      </c>
      <c r="K79" s="1">
        <v>27.7</v>
      </c>
      <c r="L79" s="1">
        <v>771.75300000000004</v>
      </c>
      <c r="M79" t="s">
        <v>134</v>
      </c>
      <c r="N79" t="s">
        <v>50</v>
      </c>
      <c r="O79">
        <v>2024</v>
      </c>
      <c r="P79">
        <v>3</v>
      </c>
      <c r="Q79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80" spans="1:17" x14ac:dyDescent="0.25">
      <c r="A80" s="1">
        <v>340.73500000000001</v>
      </c>
      <c r="B80" s="1">
        <v>200.745</v>
      </c>
      <c r="C80" s="1">
        <v>22.501999999999999</v>
      </c>
      <c r="D80" s="1">
        <v>257.01400000000001</v>
      </c>
      <c r="E80" s="1">
        <v>158.62100000000001</v>
      </c>
      <c r="F80" s="1">
        <v>17.885000000000002</v>
      </c>
      <c r="G80" s="1">
        <v>43.768999999999998</v>
      </c>
      <c r="H80" s="1">
        <v>40.076000000000001</v>
      </c>
      <c r="I80" s="1">
        <v>8.6479999999999997</v>
      </c>
      <c r="J80" s="1">
        <v>8.9459999999999997</v>
      </c>
      <c r="K80" s="1">
        <v>48.844999999999999</v>
      </c>
      <c r="L80" s="1">
        <v>924.53899999999999</v>
      </c>
      <c r="M80" t="s">
        <v>134</v>
      </c>
      <c r="N80" t="s">
        <v>50</v>
      </c>
      <c r="O80">
        <v>2024</v>
      </c>
      <c r="P80">
        <v>2</v>
      </c>
      <c r="Q80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81" spans="1:17" x14ac:dyDescent="0.25">
      <c r="A81" s="1">
        <v>371.39400000000001</v>
      </c>
      <c r="B81" s="1">
        <v>173.22800000000001</v>
      </c>
      <c r="C81" s="1">
        <v>20.515999999999998</v>
      </c>
      <c r="D81" s="1">
        <v>232.18100000000001</v>
      </c>
      <c r="E81" s="1">
        <v>170.196</v>
      </c>
      <c r="F81" s="1">
        <v>19.959</v>
      </c>
      <c r="G81" s="1">
        <v>51.084000000000003</v>
      </c>
      <c r="H81" s="1">
        <v>43.438000000000002</v>
      </c>
      <c r="I81" s="1">
        <v>7.8410000000000002</v>
      </c>
      <c r="J81" s="1">
        <v>12.233000000000001</v>
      </c>
      <c r="K81" s="1">
        <v>34.994999999999997</v>
      </c>
      <c r="L81" s="1">
        <v>943.32100000000003</v>
      </c>
      <c r="M81" t="s">
        <v>134</v>
      </c>
      <c r="N81" t="s">
        <v>50</v>
      </c>
      <c r="O81">
        <v>2024</v>
      </c>
      <c r="P81">
        <v>4</v>
      </c>
      <c r="Q81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82" spans="1:17" x14ac:dyDescent="0.25">
      <c r="A82" s="1">
        <v>498.02929999999998</v>
      </c>
      <c r="B82" s="1">
        <v>333.57928999999996</v>
      </c>
      <c r="C82" s="1">
        <v>27.704819999999998</v>
      </c>
      <c r="D82" s="1">
        <v>404.97003999999998</v>
      </c>
      <c r="E82" s="1">
        <v>234.43155999999999</v>
      </c>
      <c r="F82" s="1">
        <v>33.935040000000001</v>
      </c>
      <c r="G82" s="1">
        <v>54.820639999999997</v>
      </c>
      <c r="H82" s="1">
        <v>77.30095</v>
      </c>
      <c r="I82" s="1">
        <v>1.7402200000000001</v>
      </c>
      <c r="J82" s="1">
        <v>18.034200000000002</v>
      </c>
      <c r="K82" s="1">
        <v>57.936320000000002</v>
      </c>
      <c r="L82" s="1">
        <v>1381.1982700000001</v>
      </c>
      <c r="M82" t="s">
        <v>142</v>
      </c>
      <c r="N82" t="s">
        <v>50</v>
      </c>
      <c r="O82">
        <v>2024</v>
      </c>
      <c r="P82">
        <v>1</v>
      </c>
      <c r="Q82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83" spans="1:17" x14ac:dyDescent="0.25">
      <c r="A83" s="1">
        <v>464.67865999999998</v>
      </c>
      <c r="B83" s="1">
        <v>302.56297999999998</v>
      </c>
      <c r="C83" s="1">
        <v>18.083680000000001</v>
      </c>
      <c r="D83" s="1">
        <v>361.37781999999999</v>
      </c>
      <c r="E83" s="1">
        <v>211.85604000000001</v>
      </c>
      <c r="F83" s="1">
        <v>32.183759999999999</v>
      </c>
      <c r="G83" s="1">
        <v>50.876419999999996</v>
      </c>
      <c r="H83" s="1">
        <v>65.937970000000007</v>
      </c>
      <c r="I83" s="1">
        <v>1.8024100000000001</v>
      </c>
      <c r="J83" s="1">
        <v>16.948229999999999</v>
      </c>
      <c r="K83" s="1">
        <v>60.081249999999997</v>
      </c>
      <c r="L83" s="1">
        <v>1265.7425700000001</v>
      </c>
      <c r="M83" t="s">
        <v>142</v>
      </c>
      <c r="N83" t="s">
        <v>50</v>
      </c>
      <c r="O83">
        <v>2024</v>
      </c>
      <c r="P83">
        <v>2</v>
      </c>
      <c r="Q83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-1.0000000429499778E-5</v>
      </c>
    </row>
    <row r="84" spans="1:17" x14ac:dyDescent="0.25">
      <c r="A84" s="1">
        <v>423.35460999999998</v>
      </c>
      <c r="B84" s="1">
        <v>253.58237</v>
      </c>
      <c r="C84" s="1">
        <v>21.34347</v>
      </c>
      <c r="D84" s="1">
        <v>311.00541999999996</v>
      </c>
      <c r="E84" s="1">
        <v>198.69545000000002</v>
      </c>
      <c r="F84" s="1">
        <v>29.35568</v>
      </c>
      <c r="G84" s="1">
        <v>47.763959999999997</v>
      </c>
      <c r="H84" s="1">
        <v>59.094569999999997</v>
      </c>
      <c r="I84" s="1">
        <v>3.0130700000000004</v>
      </c>
      <c r="J84" s="1">
        <v>14.786959999999999</v>
      </c>
      <c r="K84" s="1">
        <v>57.975569999999998</v>
      </c>
      <c r="L84" s="1">
        <v>1145.0452700000001</v>
      </c>
      <c r="M84" t="s">
        <v>142</v>
      </c>
      <c r="N84" t="s">
        <v>50</v>
      </c>
      <c r="O84">
        <v>2024</v>
      </c>
      <c r="P84">
        <v>3</v>
      </c>
      <c r="Q84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1.9999999949504854E-5</v>
      </c>
    </row>
    <row r="85" spans="1:17" x14ac:dyDescent="0.25">
      <c r="A85" s="1">
        <v>463.02699999999999</v>
      </c>
      <c r="B85" s="1">
        <v>276.238</v>
      </c>
      <c r="C85" s="1">
        <v>36.049999999999997</v>
      </c>
      <c r="D85" s="1">
        <v>364.50400000000002</v>
      </c>
      <c r="E85" s="1">
        <v>227.09100000000001</v>
      </c>
      <c r="F85" s="1">
        <v>24.37</v>
      </c>
      <c r="G85" s="1">
        <v>71.394000000000005</v>
      </c>
      <c r="H85" s="1">
        <v>59.64</v>
      </c>
      <c r="I85" s="1">
        <v>13.38</v>
      </c>
      <c r="J85" s="1">
        <v>13.167999999999999</v>
      </c>
      <c r="K85" s="1">
        <v>40.072000000000003</v>
      </c>
      <c r="L85" s="1">
        <v>1276.646</v>
      </c>
      <c r="M85" t="s">
        <v>134</v>
      </c>
      <c r="N85" t="s">
        <v>50</v>
      </c>
      <c r="O85">
        <v>2024</v>
      </c>
      <c r="P85">
        <v>1</v>
      </c>
      <c r="Q85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86" spans="1:17" x14ac:dyDescent="0.25">
      <c r="A86" s="1">
        <v>475.01547999999997</v>
      </c>
      <c r="B86" s="1">
        <v>401.61545000000001</v>
      </c>
      <c r="C86" s="1">
        <v>8.5116800000000001</v>
      </c>
      <c r="D86" s="1">
        <v>473.98457000000002</v>
      </c>
      <c r="E86" s="1">
        <v>258.50171</v>
      </c>
      <c r="F86" s="1">
        <v>17.073460000000001</v>
      </c>
      <c r="G86" s="1">
        <v>27.41215</v>
      </c>
      <c r="H86" s="1">
        <v>79.88964</v>
      </c>
      <c r="I86" s="1">
        <v>1.5770899999999999</v>
      </c>
      <c r="J86" s="1">
        <v>15.57037</v>
      </c>
      <c r="K86" s="1">
        <v>24.7728</v>
      </c>
      <c r="L86" s="1">
        <v>1373.7972600000001</v>
      </c>
      <c r="M86" t="s">
        <v>142</v>
      </c>
      <c r="N86" t="s">
        <v>64</v>
      </c>
      <c r="O86">
        <v>2024</v>
      </c>
      <c r="P86">
        <v>2</v>
      </c>
      <c r="Q86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1.0000000202126103E-5</v>
      </c>
    </row>
    <row r="87" spans="1:17" x14ac:dyDescent="0.25">
      <c r="A87" s="1">
        <v>2607.7623399999998</v>
      </c>
      <c r="B87" s="1">
        <v>1547.5565900000001</v>
      </c>
      <c r="C87" s="1">
        <v>202.52441000000002</v>
      </c>
      <c r="D87" s="1">
        <v>1964.4004600000001</v>
      </c>
      <c r="E87" s="1">
        <v>1136.9478300000001</v>
      </c>
      <c r="F87" s="1">
        <v>157.20667</v>
      </c>
      <c r="G87" s="1">
        <v>571.50377000000003</v>
      </c>
      <c r="H87" s="1">
        <v>281.00333000000001</v>
      </c>
      <c r="I87" s="1">
        <v>15.84257</v>
      </c>
      <c r="J87" s="1">
        <v>112.67796000000001</v>
      </c>
      <c r="K87" s="1">
        <v>1726.6163000000001</v>
      </c>
      <c r="L87" s="1">
        <v>8573.9612300000008</v>
      </c>
      <c r="M87" t="s">
        <v>105</v>
      </c>
      <c r="N87" t="s">
        <v>44</v>
      </c>
      <c r="O87">
        <v>2024</v>
      </c>
      <c r="P87">
        <v>1</v>
      </c>
      <c r="Q87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88" spans="1:17" x14ac:dyDescent="0.25">
      <c r="A88" s="1">
        <v>568.77162999999996</v>
      </c>
      <c r="B88" s="1">
        <v>481.66856000000001</v>
      </c>
      <c r="C88" s="1">
        <v>16.344370000000001</v>
      </c>
      <c r="D88" s="1">
        <v>571.14820999999995</v>
      </c>
      <c r="E88" s="1">
        <v>287.42437000000001</v>
      </c>
      <c r="F88" s="1">
        <v>20.7531</v>
      </c>
      <c r="G88" s="1">
        <v>30.816939999999999</v>
      </c>
      <c r="H88" s="1">
        <v>101.43306</v>
      </c>
      <c r="I88" s="1">
        <v>1.7651199999999998</v>
      </c>
      <c r="J88" s="1">
        <v>20.9681</v>
      </c>
      <c r="K88" s="1">
        <v>28.32957</v>
      </c>
      <c r="L88" s="1">
        <v>1631.4100900000001</v>
      </c>
      <c r="M88" t="s">
        <v>142</v>
      </c>
      <c r="N88" t="s">
        <v>64</v>
      </c>
      <c r="O88">
        <v>2024</v>
      </c>
      <c r="P88">
        <v>1</v>
      </c>
      <c r="Q88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9.9999999747524271E-6</v>
      </c>
    </row>
    <row r="89" spans="1:17" x14ac:dyDescent="0.25">
      <c r="A89" s="1">
        <v>3057.67</v>
      </c>
      <c r="B89" s="1">
        <v>1547.4169999999999</v>
      </c>
      <c r="C89" s="1">
        <v>112.58199999999999</v>
      </c>
      <c r="D89" s="1">
        <v>1699.2239999999999</v>
      </c>
      <c r="E89" s="1">
        <v>891.83199999999999</v>
      </c>
      <c r="F89" s="1">
        <v>185.31700000000001</v>
      </c>
      <c r="G89" s="1">
        <v>374.85599999999999</v>
      </c>
      <c r="H89" s="1">
        <v>389.27600000000001</v>
      </c>
      <c r="I89" s="1">
        <v>11.959</v>
      </c>
      <c r="J89" s="1">
        <v>87.518000000000001</v>
      </c>
      <c r="K89" s="1">
        <v>35.206000000000003</v>
      </c>
      <c r="L89" s="1">
        <v>6732.8580000000002</v>
      </c>
      <c r="M89" t="s">
        <v>99</v>
      </c>
      <c r="N89" t="s">
        <v>44</v>
      </c>
      <c r="O89">
        <v>2024</v>
      </c>
      <c r="P89">
        <v>2</v>
      </c>
      <c r="Q89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90" spans="1:17" x14ac:dyDescent="0.25">
      <c r="A90" s="1">
        <v>2721.2965199999999</v>
      </c>
      <c r="B90" s="1">
        <v>1440.33797</v>
      </c>
      <c r="C90" s="1">
        <v>221.95652999999999</v>
      </c>
      <c r="D90" s="1">
        <v>1881.4659099999999</v>
      </c>
      <c r="E90" s="1">
        <v>1237.8172299999999</v>
      </c>
      <c r="F90" s="1">
        <v>172.58233999999999</v>
      </c>
      <c r="G90" s="1">
        <v>555.09645</v>
      </c>
      <c r="H90" s="1">
        <v>281.71565000000004</v>
      </c>
      <c r="I90" s="1">
        <v>16.920390000000001</v>
      </c>
      <c r="J90" s="1">
        <v>447.73239000000001</v>
      </c>
      <c r="K90" s="1">
        <v>1813.5752299999999</v>
      </c>
      <c r="L90" s="1">
        <v>9128.2021100000002</v>
      </c>
      <c r="M90" t="s">
        <v>105</v>
      </c>
      <c r="N90" t="s">
        <v>44</v>
      </c>
      <c r="O90">
        <v>2024</v>
      </c>
      <c r="P90">
        <v>3</v>
      </c>
      <c r="Q90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91" spans="1:17" x14ac:dyDescent="0.25">
      <c r="A91" s="1">
        <v>475.54908</v>
      </c>
      <c r="B91" s="1">
        <v>250.50964999999999</v>
      </c>
      <c r="C91" s="1">
        <v>22.205099999999998</v>
      </c>
      <c r="D91" s="1">
        <v>314.05099999999999</v>
      </c>
      <c r="E91" s="1">
        <v>239.91406000000001</v>
      </c>
      <c r="F91" s="1">
        <v>32.059919999999998</v>
      </c>
      <c r="G91" s="1">
        <v>54.39817</v>
      </c>
      <c r="H91" s="1">
        <v>70.100649999999987</v>
      </c>
      <c r="I91" s="1">
        <v>2.2328299999999999</v>
      </c>
      <c r="J91" s="1">
        <v>21.49615</v>
      </c>
      <c r="K91" s="1">
        <v>61.368459999999999</v>
      </c>
      <c r="L91" s="1">
        <v>1271.17031</v>
      </c>
      <c r="M91" t="s">
        <v>142</v>
      </c>
      <c r="N91" t="s">
        <v>50</v>
      </c>
      <c r="O91">
        <v>2024</v>
      </c>
      <c r="P91">
        <v>4</v>
      </c>
      <c r="Q91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9.9999997473787516E-6</v>
      </c>
    </row>
    <row r="92" spans="1:17" x14ac:dyDescent="0.25">
      <c r="A92" s="1">
        <v>548.81399999999996</v>
      </c>
      <c r="B92" s="1">
        <v>426.95299999999997</v>
      </c>
      <c r="C92" s="1">
        <v>36.225000000000001</v>
      </c>
      <c r="D92" s="1">
        <v>524.72799999999995</v>
      </c>
      <c r="E92" s="1">
        <v>250.95</v>
      </c>
      <c r="F92" s="1">
        <v>28.73</v>
      </c>
      <c r="G92" s="1">
        <v>81.055000000000007</v>
      </c>
      <c r="H92" s="1">
        <v>58.793999999999997</v>
      </c>
      <c r="I92" s="1">
        <v>13.19</v>
      </c>
      <c r="J92" s="1">
        <v>15.426</v>
      </c>
      <c r="K92" s="1">
        <v>21.978999999999999</v>
      </c>
      <c r="L92" s="1">
        <v>1543.6659999999999</v>
      </c>
      <c r="M92" t="s">
        <v>134</v>
      </c>
      <c r="N92" t="s">
        <v>53</v>
      </c>
      <c r="O92">
        <v>2024</v>
      </c>
      <c r="P92">
        <v>1</v>
      </c>
      <c r="Q92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93" spans="1:17" x14ac:dyDescent="0.25">
      <c r="A93" s="1">
        <v>615.81362999999999</v>
      </c>
      <c r="B93" s="1">
        <v>520.43161999999995</v>
      </c>
      <c r="C93" s="1">
        <v>25.01493</v>
      </c>
      <c r="D93" s="1">
        <v>634.10334999999998</v>
      </c>
      <c r="E93" s="1">
        <v>391.88196999999997</v>
      </c>
      <c r="F93" s="1">
        <v>34.830280000000002</v>
      </c>
      <c r="G93" s="1">
        <v>39.69126</v>
      </c>
      <c r="H93" s="1">
        <v>133.08201</v>
      </c>
      <c r="I93" s="1">
        <v>1.9023800000000002</v>
      </c>
      <c r="J93" s="1">
        <v>26.74521</v>
      </c>
      <c r="K93" s="1">
        <v>32.073189999999997</v>
      </c>
      <c r="L93" s="1">
        <v>1910.12327</v>
      </c>
      <c r="M93" t="s">
        <v>142</v>
      </c>
      <c r="N93" t="s">
        <v>53</v>
      </c>
      <c r="O93">
        <v>2024</v>
      </c>
      <c r="P93">
        <v>1</v>
      </c>
      <c r="Q93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9.9999999747524271E-6</v>
      </c>
    </row>
    <row r="94" spans="1:17" x14ac:dyDescent="0.25">
      <c r="A94" s="1">
        <v>2626.4287100000001</v>
      </c>
      <c r="B94" s="1">
        <v>1551.99629</v>
      </c>
      <c r="C94" s="1">
        <v>232.02049</v>
      </c>
      <c r="D94" s="1">
        <v>2000.6302900000001</v>
      </c>
      <c r="E94" s="1">
        <v>1179.6984299999999</v>
      </c>
      <c r="F94" s="1">
        <v>179.49928</v>
      </c>
      <c r="G94" s="1">
        <v>537.49302999999998</v>
      </c>
      <c r="H94" s="1">
        <v>277.60889000000003</v>
      </c>
      <c r="I94" s="1">
        <v>16.904529999999998</v>
      </c>
      <c r="J94" s="1">
        <v>87.017179999999996</v>
      </c>
      <c r="K94" s="1">
        <v>1824.8562199999999</v>
      </c>
      <c r="L94" s="1">
        <v>8730.1365700000006</v>
      </c>
      <c r="M94" t="s">
        <v>105</v>
      </c>
      <c r="N94" t="s">
        <v>44</v>
      </c>
      <c r="O94">
        <v>2024</v>
      </c>
      <c r="P94">
        <v>2</v>
      </c>
      <c r="Q94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-1.0000001566368155E-5</v>
      </c>
    </row>
    <row r="95" spans="1:17" x14ac:dyDescent="0.25">
      <c r="A95" s="1">
        <v>494.75896999999998</v>
      </c>
      <c r="B95" s="1">
        <v>380.53982999999999</v>
      </c>
      <c r="C95" s="1">
        <v>11.36558</v>
      </c>
      <c r="D95" s="1">
        <v>459.77271000000002</v>
      </c>
      <c r="E95" s="1">
        <v>245.11951000000002</v>
      </c>
      <c r="F95" s="1">
        <v>19.465990000000001</v>
      </c>
      <c r="G95" s="1">
        <v>26.756959999999999</v>
      </c>
      <c r="H95" s="1">
        <v>78.216839999999991</v>
      </c>
      <c r="I95" s="1">
        <v>3.8270599999999999</v>
      </c>
      <c r="J95" s="1">
        <v>13.57436</v>
      </c>
      <c r="K95" s="1">
        <v>24.31917</v>
      </c>
      <c r="L95" s="1">
        <v>1365.8115600000001</v>
      </c>
      <c r="M95" t="s">
        <v>142</v>
      </c>
      <c r="N95" t="s">
        <v>64</v>
      </c>
      <c r="O95">
        <v>2024</v>
      </c>
      <c r="P95">
        <v>3</v>
      </c>
      <c r="Q95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9.9999999747524271E-6</v>
      </c>
    </row>
    <row r="96" spans="1:17" x14ac:dyDescent="0.25">
      <c r="A96" s="1">
        <v>2790.26359</v>
      </c>
      <c r="B96" s="1">
        <v>1267.2969399999999</v>
      </c>
      <c r="C96" s="1">
        <v>228.99123</v>
      </c>
      <c r="D96" s="1">
        <v>1712.99821</v>
      </c>
      <c r="E96" s="1">
        <v>1272.4724699999999</v>
      </c>
      <c r="F96" s="1">
        <v>171.13557999999998</v>
      </c>
      <c r="G96" s="1">
        <v>526.22715000000005</v>
      </c>
      <c r="H96" s="1">
        <v>302.67207000000002</v>
      </c>
      <c r="I96" s="1">
        <v>19.771699999999999</v>
      </c>
      <c r="J96" s="1">
        <v>38.074109999999997</v>
      </c>
      <c r="K96" s="1">
        <v>1788.9821000000002</v>
      </c>
      <c r="L96" s="1">
        <v>8622.5969800000003</v>
      </c>
      <c r="M96" t="s">
        <v>105</v>
      </c>
      <c r="N96" t="s">
        <v>44</v>
      </c>
      <c r="O96">
        <v>2024</v>
      </c>
      <c r="P96">
        <v>4</v>
      </c>
      <c r="Q96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97" spans="1:17" x14ac:dyDescent="0.25">
      <c r="A97" s="1">
        <v>785.50099999999998</v>
      </c>
      <c r="B97" s="1">
        <v>454.815</v>
      </c>
      <c r="C97" s="1">
        <v>35.704999999999998</v>
      </c>
      <c r="D97" s="1">
        <v>575.13199999999995</v>
      </c>
      <c r="E97" s="1">
        <v>341.00900000000001</v>
      </c>
      <c r="F97" s="1">
        <v>43.948</v>
      </c>
      <c r="G97" s="1">
        <v>106.46899999999999</v>
      </c>
      <c r="H97" s="1">
        <v>72.045000000000002</v>
      </c>
      <c r="I97" s="1">
        <v>13.006</v>
      </c>
      <c r="J97" s="1">
        <v>26.692</v>
      </c>
      <c r="K97" s="1">
        <v>31.120999999999999</v>
      </c>
      <c r="L97" s="1">
        <v>1994.923</v>
      </c>
      <c r="M97" t="s">
        <v>134</v>
      </c>
      <c r="N97" t="s">
        <v>53</v>
      </c>
      <c r="O97">
        <v>2024</v>
      </c>
      <c r="P97">
        <v>4</v>
      </c>
      <c r="Q97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98" spans="1:17" x14ac:dyDescent="0.25">
      <c r="A98" s="1">
        <v>570.11910999999998</v>
      </c>
      <c r="B98" s="1">
        <v>394.25251000000003</v>
      </c>
      <c r="C98" s="1">
        <v>17.348320000000001</v>
      </c>
      <c r="D98" s="1">
        <v>483.70139</v>
      </c>
      <c r="E98" s="1">
        <v>284.32249999999999</v>
      </c>
      <c r="F98" s="1">
        <v>20.38776</v>
      </c>
      <c r="G98" s="1">
        <v>29.189619999999998</v>
      </c>
      <c r="H98" s="1">
        <v>93.17446000000001</v>
      </c>
      <c r="I98" s="1">
        <v>2.9433000000000002</v>
      </c>
      <c r="J98" s="1">
        <v>27.655470000000001</v>
      </c>
      <c r="K98" s="1">
        <v>27.126860000000001</v>
      </c>
      <c r="L98" s="1">
        <v>1538.6204599999999</v>
      </c>
      <c r="M98" t="s">
        <v>142</v>
      </c>
      <c r="N98" t="s">
        <v>64</v>
      </c>
      <c r="O98">
        <v>2024</v>
      </c>
      <c r="P98">
        <v>4</v>
      </c>
      <c r="Q98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1.0000000202126103E-5</v>
      </c>
    </row>
    <row r="99" spans="1:17" x14ac:dyDescent="0.25">
      <c r="A99" s="1">
        <v>990.22400000000005</v>
      </c>
      <c r="B99" s="1">
        <v>639.33199999999999</v>
      </c>
      <c r="C99" s="1">
        <v>49.716999999999999</v>
      </c>
      <c r="D99" s="1">
        <v>797.31299999999999</v>
      </c>
      <c r="E99" s="1">
        <v>440.221</v>
      </c>
      <c r="F99" s="1">
        <v>57.341999999999999</v>
      </c>
      <c r="G99" s="1">
        <v>128.12799999999999</v>
      </c>
      <c r="H99" s="1">
        <v>83.483000000000004</v>
      </c>
      <c r="I99" s="1">
        <v>18.02</v>
      </c>
      <c r="J99" s="1">
        <v>28.338000000000001</v>
      </c>
      <c r="K99" s="1">
        <v>42.704000000000001</v>
      </c>
      <c r="L99" s="1">
        <v>2585.7730000000001</v>
      </c>
      <c r="M99" t="s">
        <v>134</v>
      </c>
      <c r="N99" t="s">
        <v>53</v>
      </c>
      <c r="O99">
        <v>2024</v>
      </c>
      <c r="P99">
        <v>2</v>
      </c>
      <c r="Q99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100" spans="1:17" x14ac:dyDescent="0.25">
      <c r="A100" s="1">
        <v>875.58393999999998</v>
      </c>
      <c r="B100" s="1">
        <v>749.98148000000003</v>
      </c>
      <c r="C100" s="1">
        <v>26.883580000000002</v>
      </c>
      <c r="D100" s="1">
        <v>910.46901000000003</v>
      </c>
      <c r="E100" s="1">
        <v>540.66956000000005</v>
      </c>
      <c r="F100" s="1">
        <v>52.858269999999997</v>
      </c>
      <c r="G100" s="1">
        <v>60.720050000000001</v>
      </c>
      <c r="H100" s="1">
        <v>181.03798999999998</v>
      </c>
      <c r="I100" s="1">
        <v>3.0276100000000001</v>
      </c>
      <c r="J100" s="1">
        <v>39.6477</v>
      </c>
      <c r="K100" s="1">
        <v>48.064680000000003</v>
      </c>
      <c r="L100" s="1">
        <v>2712.0787999999998</v>
      </c>
      <c r="M100" t="s">
        <v>142</v>
      </c>
      <c r="N100" t="s">
        <v>53</v>
      </c>
      <c r="O100">
        <v>2024</v>
      </c>
      <c r="P100">
        <v>2</v>
      </c>
      <c r="Q100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1.0000000202126103E-5</v>
      </c>
    </row>
    <row r="101" spans="1:17" x14ac:dyDescent="0.25">
      <c r="A101" s="1">
        <v>779.18260999999995</v>
      </c>
      <c r="B101" s="1">
        <v>537.46391000000006</v>
      </c>
      <c r="C101" s="1">
        <v>28.299910000000001</v>
      </c>
      <c r="D101" s="1">
        <v>679.35030000000006</v>
      </c>
      <c r="E101" s="1">
        <v>472.02196999999995</v>
      </c>
      <c r="F101" s="1">
        <v>48.165190000000003</v>
      </c>
      <c r="G101" s="1">
        <v>47.447009999999999</v>
      </c>
      <c r="H101" s="1">
        <v>151.22432000000001</v>
      </c>
      <c r="I101" s="1">
        <v>3.96679</v>
      </c>
      <c r="J101" s="1">
        <v>43.627789999999997</v>
      </c>
      <c r="K101" s="1">
        <v>40.508300000000006</v>
      </c>
      <c r="L101" s="1">
        <v>2265.4942599999999</v>
      </c>
      <c r="M101" t="s">
        <v>142</v>
      </c>
      <c r="N101" t="s">
        <v>53</v>
      </c>
      <c r="O101">
        <v>2024</v>
      </c>
      <c r="P101">
        <v>4</v>
      </c>
      <c r="Q101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1.9999999949504854E-5</v>
      </c>
    </row>
    <row r="102" spans="1:17" x14ac:dyDescent="0.25">
      <c r="A102" s="1">
        <v>1105.9100000000001</v>
      </c>
      <c r="B102" s="1">
        <v>674.14700000000005</v>
      </c>
      <c r="C102" s="1">
        <v>57.670999999999999</v>
      </c>
      <c r="D102" s="1">
        <v>855.56799999999998</v>
      </c>
      <c r="E102" s="1">
        <v>481.92200000000003</v>
      </c>
      <c r="F102" s="1">
        <v>67.168999999999997</v>
      </c>
      <c r="G102" s="1">
        <v>156.96299999999999</v>
      </c>
      <c r="H102" s="1">
        <v>96.549000000000007</v>
      </c>
      <c r="I102" s="1">
        <v>17.652000000000001</v>
      </c>
      <c r="J102" s="1">
        <v>62.491</v>
      </c>
      <c r="K102" s="1">
        <v>44.962000000000003</v>
      </c>
      <c r="L102" s="1">
        <v>2889.1860000000001</v>
      </c>
      <c r="M102" t="s">
        <v>134</v>
      </c>
      <c r="N102" t="s">
        <v>53</v>
      </c>
      <c r="O102">
        <v>2024</v>
      </c>
      <c r="P102">
        <v>3</v>
      </c>
      <c r="Q102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103" spans="1:17" x14ac:dyDescent="0.25">
      <c r="A103" s="1">
        <v>3309.9180000000001</v>
      </c>
      <c r="B103" s="1">
        <v>1233.241</v>
      </c>
      <c r="C103" s="1">
        <v>101.937</v>
      </c>
      <c r="D103" s="1">
        <v>1373.133</v>
      </c>
      <c r="E103" s="1">
        <v>838.57399999999996</v>
      </c>
      <c r="F103" s="1">
        <v>188.95699999999999</v>
      </c>
      <c r="G103" s="1">
        <v>374.90600000000001</v>
      </c>
      <c r="H103" s="1">
        <v>383.33600000000001</v>
      </c>
      <c r="I103" s="1">
        <v>12.106999999999999</v>
      </c>
      <c r="J103" s="1">
        <v>-27.629000000000001</v>
      </c>
      <c r="K103" s="1">
        <v>35.106999999999999</v>
      </c>
      <c r="L103" s="1">
        <v>6488.4089999999997</v>
      </c>
      <c r="M103" t="s">
        <v>99</v>
      </c>
      <c r="N103" t="s">
        <v>44</v>
      </c>
      <c r="O103">
        <v>2024</v>
      </c>
      <c r="P103">
        <v>4</v>
      </c>
      <c r="Q103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104" spans="1:17" x14ac:dyDescent="0.25">
      <c r="A104" s="1">
        <v>3148.6959999999999</v>
      </c>
      <c r="B104" s="1">
        <v>1379.0309999999999</v>
      </c>
      <c r="C104" s="1">
        <v>94.745999999999995</v>
      </c>
      <c r="D104" s="1">
        <v>1511.557</v>
      </c>
      <c r="E104" s="1">
        <v>868.75900000000001</v>
      </c>
      <c r="F104" s="1">
        <v>186.04599999999999</v>
      </c>
      <c r="G104" s="1">
        <v>364.10399999999998</v>
      </c>
      <c r="H104" s="1">
        <v>415.32400000000001</v>
      </c>
      <c r="I104" s="1">
        <v>12.19</v>
      </c>
      <c r="J104" s="1">
        <v>107.40900000000001</v>
      </c>
      <c r="K104" s="1">
        <v>34.01</v>
      </c>
      <c r="L104" s="1">
        <v>6648.0950000000003</v>
      </c>
      <c r="M104" t="s">
        <v>99</v>
      </c>
      <c r="N104" t="s">
        <v>44</v>
      </c>
      <c r="O104">
        <v>2024</v>
      </c>
      <c r="P104">
        <v>3</v>
      </c>
      <c r="Q104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105" spans="1:17" x14ac:dyDescent="0.25">
      <c r="A105" s="1">
        <v>984.28764999999999</v>
      </c>
      <c r="B105" s="1">
        <v>767.71573999999998</v>
      </c>
      <c r="C105" s="1">
        <v>35.159930000000003</v>
      </c>
      <c r="D105" s="1">
        <v>953.87556000000006</v>
      </c>
      <c r="E105" s="1">
        <v>597.15177000000006</v>
      </c>
      <c r="F105" s="1">
        <v>60.322410000000005</v>
      </c>
      <c r="G105" s="1">
        <v>62.421970000000002</v>
      </c>
      <c r="H105" s="1">
        <v>187.99235999999999</v>
      </c>
      <c r="I105" s="1">
        <v>7.8321099999999992</v>
      </c>
      <c r="J105" s="1">
        <v>36.805610000000001</v>
      </c>
      <c r="K105" s="1">
        <v>48.501760000000004</v>
      </c>
      <c r="L105" s="1">
        <v>2939.1911800000003</v>
      </c>
      <c r="M105" t="s">
        <v>142</v>
      </c>
      <c r="N105" t="s">
        <v>53</v>
      </c>
      <c r="O105">
        <v>2024</v>
      </c>
      <c r="P105">
        <v>3</v>
      </c>
      <c r="Q105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1.9999999949504854E-5</v>
      </c>
    </row>
    <row r="106" spans="1:17" x14ac:dyDescent="0.25">
      <c r="A106" s="1">
        <v>2506.4076</v>
      </c>
      <c r="B106" s="1">
        <v>1313.1529800000001</v>
      </c>
      <c r="C106" s="1">
        <v>122.24863999999999</v>
      </c>
      <c r="D106" s="1">
        <v>1633.4361999999999</v>
      </c>
      <c r="E106" s="1">
        <v>1255.7602099999999</v>
      </c>
      <c r="F106" s="1">
        <v>205.25886</v>
      </c>
      <c r="G106" s="1">
        <v>427.90275000000003</v>
      </c>
      <c r="H106" s="1">
        <v>357.15515000000005</v>
      </c>
      <c r="I106" s="1">
        <v>9.7571399999999997</v>
      </c>
      <c r="J106" s="1">
        <v>81.61775999999999</v>
      </c>
      <c r="K106" s="1">
        <v>1039.97525</v>
      </c>
      <c r="L106" s="1">
        <v>7517.2709199999999</v>
      </c>
      <c r="M106" t="s">
        <v>142</v>
      </c>
      <c r="N106" t="s">
        <v>44</v>
      </c>
      <c r="O106">
        <v>2024</v>
      </c>
      <c r="P106">
        <v>1</v>
      </c>
      <c r="Q106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107" spans="1:17" x14ac:dyDescent="0.25">
      <c r="A107" s="1">
        <v>2552.42614</v>
      </c>
      <c r="B107" s="1">
        <v>1351.8616499999998</v>
      </c>
      <c r="C107" s="1">
        <v>98.207759999999993</v>
      </c>
      <c r="D107" s="1">
        <v>1663.83599</v>
      </c>
      <c r="E107" s="1">
        <v>1272.47147</v>
      </c>
      <c r="F107" s="1">
        <v>223.08720000000002</v>
      </c>
      <c r="G107" s="1">
        <v>443.15332000000001</v>
      </c>
      <c r="H107" s="1">
        <v>349.66462000000001</v>
      </c>
      <c r="I107" s="1">
        <v>11.40094</v>
      </c>
      <c r="J107" s="1">
        <v>80.788449999999997</v>
      </c>
      <c r="K107" s="1">
        <v>1107.88346</v>
      </c>
      <c r="L107" s="1">
        <v>7704.7115800000001</v>
      </c>
      <c r="M107" t="s">
        <v>142</v>
      </c>
      <c r="N107" t="s">
        <v>44</v>
      </c>
      <c r="O107">
        <v>2024</v>
      </c>
      <c r="P107">
        <v>2</v>
      </c>
      <c r="Q107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1.0000000656873453E-5</v>
      </c>
    </row>
    <row r="108" spans="1:17" x14ac:dyDescent="0.25">
      <c r="A108" s="1">
        <v>2703.9507999999996</v>
      </c>
      <c r="B108" s="1">
        <v>1273.9903200000001</v>
      </c>
      <c r="C108" s="1">
        <v>119.56125999999999</v>
      </c>
      <c r="D108" s="1">
        <v>1614.0416699999998</v>
      </c>
      <c r="E108" s="1">
        <v>1242.2892899999999</v>
      </c>
      <c r="F108" s="1">
        <v>237.60173</v>
      </c>
      <c r="G108" s="1">
        <v>447.07658000000004</v>
      </c>
      <c r="H108" s="1">
        <v>354.60921999999999</v>
      </c>
      <c r="I108" s="1">
        <v>19.286049999999999</v>
      </c>
      <c r="J108" s="1">
        <v>69.406660000000002</v>
      </c>
      <c r="K108" s="1">
        <v>1138.7310199999999</v>
      </c>
      <c r="L108" s="1">
        <v>7826.9930100000001</v>
      </c>
      <c r="M108" t="s">
        <v>142</v>
      </c>
      <c r="N108" t="s">
        <v>44</v>
      </c>
      <c r="O108">
        <v>2024</v>
      </c>
      <c r="P108">
        <v>3</v>
      </c>
      <c r="Q108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9.9999988378840499E-6</v>
      </c>
    </row>
    <row r="109" spans="1:17" x14ac:dyDescent="0.25">
      <c r="A109" s="1">
        <v>2750.1712900000002</v>
      </c>
      <c r="B109" s="1">
        <v>1196.3336100000001</v>
      </c>
      <c r="C109" s="1">
        <v>141.00622000000001</v>
      </c>
      <c r="D109" s="1">
        <v>1563.6444799999999</v>
      </c>
      <c r="E109" s="1">
        <v>1423.37742</v>
      </c>
      <c r="F109" s="1">
        <v>240.79695000000001</v>
      </c>
      <c r="G109" s="1">
        <v>475.25865999999996</v>
      </c>
      <c r="H109" s="1">
        <v>392.63934999999998</v>
      </c>
      <c r="I109" s="1">
        <v>12.626520000000001</v>
      </c>
      <c r="J109" s="1">
        <v>107.15611</v>
      </c>
      <c r="K109" s="1">
        <v>1150.0741599999999</v>
      </c>
      <c r="L109" s="1">
        <v>8115.7449400000005</v>
      </c>
      <c r="M109" t="s">
        <v>142</v>
      </c>
      <c r="N109" t="s">
        <v>44</v>
      </c>
      <c r="O109">
        <v>2024</v>
      </c>
      <c r="P109">
        <v>4</v>
      </c>
      <c r="Q109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110" spans="1:17" x14ac:dyDescent="0.25">
      <c r="A110" s="1">
        <v>3233.9050000000002</v>
      </c>
      <c r="B110" s="1">
        <v>1476.7280000000001</v>
      </c>
      <c r="C110" s="1">
        <v>219.75800000000001</v>
      </c>
      <c r="D110" s="1">
        <v>2031.1479999999999</v>
      </c>
      <c r="E110" s="1">
        <v>1465.5440000000001</v>
      </c>
      <c r="F110" s="1">
        <v>181.42099999999999</v>
      </c>
      <c r="G110" s="1">
        <v>456.13400000000001</v>
      </c>
      <c r="H110" s="1">
        <v>388.529</v>
      </c>
      <c r="I110" s="1">
        <v>71.034000000000006</v>
      </c>
      <c r="J110" s="1">
        <v>169.87100000000001</v>
      </c>
      <c r="K110" s="1">
        <v>1988.24</v>
      </c>
      <c r="L110" s="1">
        <v>9985.8259999999991</v>
      </c>
      <c r="M110" t="s">
        <v>134</v>
      </c>
      <c r="N110" t="s">
        <v>44</v>
      </c>
      <c r="O110">
        <v>2024</v>
      </c>
      <c r="P110">
        <v>3</v>
      </c>
      <c r="Q110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111" spans="1:17" x14ac:dyDescent="0.25">
      <c r="A111" s="1">
        <v>3282.4780000000001</v>
      </c>
      <c r="B111" s="1">
        <v>1524.9939999999999</v>
      </c>
      <c r="C111" s="1">
        <v>208.16499999999999</v>
      </c>
      <c r="D111" s="1">
        <v>2074.0949999999998</v>
      </c>
      <c r="E111" s="1">
        <v>1543.4760000000001</v>
      </c>
      <c r="F111" s="1">
        <v>180.56800000000001</v>
      </c>
      <c r="G111" s="1">
        <v>431.55099999999999</v>
      </c>
      <c r="H111" s="1">
        <v>366.43599999999998</v>
      </c>
      <c r="I111" s="1">
        <v>79.090999999999994</v>
      </c>
      <c r="J111" s="1">
        <v>90.022000000000006</v>
      </c>
      <c r="K111" s="1">
        <v>2194.2660000000001</v>
      </c>
      <c r="L111" s="1">
        <v>10241.983</v>
      </c>
      <c r="M111" t="s">
        <v>134</v>
      </c>
      <c r="N111" t="s">
        <v>44</v>
      </c>
      <c r="O111">
        <v>2024</v>
      </c>
      <c r="P111">
        <v>2</v>
      </c>
      <c r="Q111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112" spans="1:17" x14ac:dyDescent="0.25">
      <c r="A112" s="1">
        <v>2956.25</v>
      </c>
      <c r="B112" s="1">
        <v>1437.3879999999999</v>
      </c>
      <c r="C112" s="1">
        <v>220.595</v>
      </c>
      <c r="D112" s="1">
        <v>2006.8620000000001</v>
      </c>
      <c r="E112" s="1">
        <v>1463.1959999999999</v>
      </c>
      <c r="F112" s="1">
        <v>162.83699999999999</v>
      </c>
      <c r="G112" s="1">
        <v>466.98399999999998</v>
      </c>
      <c r="H112" s="1">
        <v>361.27800000000002</v>
      </c>
      <c r="I112" s="1">
        <v>81.042000000000002</v>
      </c>
      <c r="J112" s="1">
        <v>87.671999999999997</v>
      </c>
      <c r="K112" s="1">
        <v>2068.8180000000002</v>
      </c>
      <c r="L112" s="1">
        <v>9654.9390000000003</v>
      </c>
      <c r="M112" t="s">
        <v>134</v>
      </c>
      <c r="N112" t="s">
        <v>44</v>
      </c>
      <c r="O112">
        <v>2024</v>
      </c>
      <c r="P112">
        <v>1</v>
      </c>
      <c r="Q112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  <row r="113" spans="1:17" x14ac:dyDescent="0.25">
      <c r="A113" s="1">
        <v>3428.8209999999999</v>
      </c>
      <c r="B113" s="1">
        <v>1356.817</v>
      </c>
      <c r="C113" s="1">
        <v>188.339</v>
      </c>
      <c r="D113" s="1">
        <v>1907.086</v>
      </c>
      <c r="E113" s="1">
        <v>1585.37</v>
      </c>
      <c r="F113" s="1">
        <v>187.93600000000001</v>
      </c>
      <c r="G113" s="1">
        <v>477.952</v>
      </c>
      <c r="H113" s="1">
        <v>396.95299999999997</v>
      </c>
      <c r="I113" s="1">
        <v>71.656999999999996</v>
      </c>
      <c r="J113" s="1">
        <v>115.063</v>
      </c>
      <c r="K113" s="1">
        <v>2071.489</v>
      </c>
      <c r="L113" s="1">
        <v>10242.326999999999</v>
      </c>
      <c r="M113" t="s">
        <v>134</v>
      </c>
      <c r="N113" t="s">
        <v>44</v>
      </c>
      <c r="O113">
        <v>2024</v>
      </c>
      <c r="P113">
        <v>4</v>
      </c>
      <c r="Q113" s="1">
        <f>Clean_table[[#This Row],[SALARIES_BENEFITS]]+Clean_table[[#This Row],[MATERIALS_TOTAL]]+Clean_table[[#This Row],[SERVICES_TOTAL]]+Clean_table[[#This Row],[LANDING_FEES]]+Clean_table[[#This Row],[RENTALS]]+Clean_table[[#This Row],[DEPRECIATION]]+Clean_table[[#This Row],[AMORTIZATION]]+Clean_table[[#This Row],[OTHER]]+Clean_table[[#This Row],[TRANS_EXPENSE]]-Clean_table[[#This Row],[OP_EXPENSE]]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61699-A944-481E-AD6D-A8E4181F0D19}">
  <dimension ref="A3:E10"/>
  <sheetViews>
    <sheetView workbookViewId="0">
      <selection activeCell="D7" sqref="D7"/>
    </sheetView>
  </sheetViews>
  <sheetFormatPr defaultRowHeight="15" x14ac:dyDescent="0.25"/>
  <cols>
    <col min="1" max="1" width="13.42578125" bestFit="1" customWidth="1"/>
    <col min="2" max="2" width="19.7109375" bestFit="1" customWidth="1"/>
    <col min="3" max="3" width="9.85546875" bestFit="1" customWidth="1"/>
    <col min="4" max="4" width="19.7109375" bestFit="1" customWidth="1"/>
    <col min="5" max="5" width="9.85546875" bestFit="1" customWidth="1"/>
  </cols>
  <sheetData>
    <row r="3" spans="1:5" x14ac:dyDescent="0.25">
      <c r="B3" s="2" t="s">
        <v>156</v>
      </c>
    </row>
    <row r="4" spans="1:5" x14ac:dyDescent="0.25">
      <c r="B4">
        <v>2024</v>
      </c>
      <c r="D4">
        <v>2025</v>
      </c>
    </row>
    <row r="5" spans="1:5" x14ac:dyDescent="0.25">
      <c r="A5" s="2" t="s">
        <v>154</v>
      </c>
      <c r="B5" t="s">
        <v>157</v>
      </c>
      <c r="C5" t="s">
        <v>158</v>
      </c>
      <c r="D5" t="s">
        <v>157</v>
      </c>
      <c r="E5" t="s">
        <v>158</v>
      </c>
    </row>
    <row r="6" spans="1:5" x14ac:dyDescent="0.25">
      <c r="A6" s="3" t="s">
        <v>105</v>
      </c>
      <c r="B6" s="4">
        <v>51549.972260000002</v>
      </c>
      <c r="C6" s="5"/>
      <c r="D6" s="4">
        <v>53114.78777000001</v>
      </c>
      <c r="E6" s="5">
        <v>3.0355312358028561E-2</v>
      </c>
    </row>
    <row r="7" spans="1:5" x14ac:dyDescent="0.25">
      <c r="A7" s="3" t="s">
        <v>134</v>
      </c>
      <c r="B7" s="4">
        <v>55778.397999999994</v>
      </c>
      <c r="C7" s="5"/>
      <c r="D7" s="4">
        <v>57822.320999999996</v>
      </c>
      <c r="E7" s="5">
        <v>3.6643630388954566E-2</v>
      </c>
    </row>
    <row r="8" spans="1:5" x14ac:dyDescent="0.25">
      <c r="A8" s="3" t="s">
        <v>142</v>
      </c>
      <c r="B8" s="4">
        <v>51964.403749999998</v>
      </c>
      <c r="C8" s="5"/>
      <c r="D8" s="4">
        <v>54353.926680000004</v>
      </c>
      <c r="E8" s="5">
        <v>4.5983841967974212E-2</v>
      </c>
    </row>
    <row r="9" spans="1:5" x14ac:dyDescent="0.25">
      <c r="A9" s="3" t="s">
        <v>99</v>
      </c>
      <c r="B9" s="4">
        <v>27162.302000000003</v>
      </c>
      <c r="C9" s="5"/>
      <c r="D9" s="4">
        <v>27634.565999999999</v>
      </c>
      <c r="E9" s="5">
        <v>1.7386744319387786E-2</v>
      </c>
    </row>
    <row r="10" spans="1:5" x14ac:dyDescent="0.25">
      <c r="A10" s="3" t="s">
        <v>155</v>
      </c>
      <c r="B10" s="4">
        <v>186455.07600999999</v>
      </c>
      <c r="C10" s="5"/>
      <c r="D10" s="4">
        <v>192925.60145000002</v>
      </c>
      <c r="E10" s="5">
        <v>3.470286558276911E-2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FBD5-F77C-41C7-A4BD-9A1A4C84D6F0}">
  <dimension ref="A1:C14"/>
  <sheetViews>
    <sheetView workbookViewId="0">
      <selection activeCell="D7" sqref="D7"/>
    </sheetView>
  </sheetViews>
  <sheetFormatPr defaultRowHeight="15" x14ac:dyDescent="0.25"/>
  <cols>
    <col min="1" max="1" width="24.7109375" bestFit="1" customWidth="1"/>
    <col min="2" max="2" width="16.85546875" bestFit="1" customWidth="1"/>
    <col min="3" max="3" width="6.5703125" bestFit="1" customWidth="1"/>
    <col min="4" max="4" width="11.28515625" bestFit="1" customWidth="1"/>
    <col min="5" max="5" width="21.85546875" bestFit="1" customWidth="1"/>
    <col min="6" max="6" width="16" bestFit="1" customWidth="1"/>
    <col min="7" max="7" width="21.85546875" bestFit="1" customWidth="1"/>
    <col min="8" max="8" width="14.140625" bestFit="1" customWidth="1"/>
    <col min="9" max="9" width="23.28515625" bestFit="1" customWidth="1"/>
    <col min="10" max="10" width="19.7109375" bestFit="1" customWidth="1"/>
    <col min="11" max="40" width="26.28515625" bestFit="1" customWidth="1"/>
    <col min="41" max="41" width="31.28515625" bestFit="1" customWidth="1"/>
    <col min="42" max="42" width="27.28515625" bestFit="1" customWidth="1"/>
    <col min="43" max="44" width="28.5703125" bestFit="1" customWidth="1"/>
    <col min="45" max="45" width="26.85546875" bestFit="1" customWidth="1"/>
    <col min="46" max="46" width="21" bestFit="1" customWidth="1"/>
    <col min="47" max="47" width="26.85546875" bestFit="1" customWidth="1"/>
    <col min="48" max="48" width="19.140625" bestFit="1" customWidth="1"/>
    <col min="49" max="49" width="28.28515625" bestFit="1" customWidth="1"/>
    <col min="50" max="50" width="24.7109375" bestFit="1" customWidth="1"/>
  </cols>
  <sheetData>
    <row r="1" spans="1:3" x14ac:dyDescent="0.25">
      <c r="A1" s="2" t="s">
        <v>32</v>
      </c>
      <c r="B1" t="s">
        <v>142</v>
      </c>
    </row>
    <row r="3" spans="1:3" x14ac:dyDescent="0.25">
      <c r="B3" s="2" t="s">
        <v>156</v>
      </c>
    </row>
    <row r="4" spans="1:3" x14ac:dyDescent="0.25">
      <c r="A4" s="2" t="s">
        <v>168</v>
      </c>
      <c r="B4">
        <v>2024</v>
      </c>
      <c r="C4">
        <v>2025</v>
      </c>
    </row>
    <row r="5" spans="1:3" x14ac:dyDescent="0.25">
      <c r="A5" s="3" t="s">
        <v>159</v>
      </c>
      <c r="B5" s="4">
        <v>17738.1005</v>
      </c>
      <c r="C5" s="4">
        <v>18808.992690000003</v>
      </c>
    </row>
    <row r="6" spans="1:3" x14ac:dyDescent="0.25">
      <c r="A6" s="3" t="s">
        <v>160</v>
      </c>
      <c r="B6" s="4">
        <v>10509.24195</v>
      </c>
      <c r="C6" s="4">
        <v>10119.491640000002</v>
      </c>
    </row>
    <row r="7" spans="1:3" x14ac:dyDescent="0.25">
      <c r="A7" s="3" t="s">
        <v>161</v>
      </c>
      <c r="B7" s="4">
        <v>739.28925000000004</v>
      </c>
      <c r="C7" s="4">
        <v>868.49080000000015</v>
      </c>
    </row>
    <row r="8" spans="1:3" x14ac:dyDescent="0.25">
      <c r="A8" s="3" t="s">
        <v>162</v>
      </c>
      <c r="B8" s="4">
        <v>9155.8888600000028</v>
      </c>
      <c r="C8" s="4">
        <v>9622.9796100000003</v>
      </c>
    </row>
    <row r="9" spans="1:3" x14ac:dyDescent="0.25">
      <c r="A9" s="3" t="s">
        <v>163</v>
      </c>
      <c r="B9" s="4">
        <v>1308.1355999999998</v>
      </c>
      <c r="C9" s="4">
        <v>1470.14291</v>
      </c>
    </row>
    <row r="10" spans="1:3" x14ac:dyDescent="0.25">
      <c r="A10" s="3" t="s">
        <v>164</v>
      </c>
      <c r="B10" s="4">
        <v>2325.7064599999999</v>
      </c>
      <c r="C10" s="4">
        <v>2637.2566400000001</v>
      </c>
    </row>
    <row r="11" spans="1:3" x14ac:dyDescent="0.25">
      <c r="A11" s="3" t="s">
        <v>165</v>
      </c>
      <c r="B11" s="4">
        <v>2732.5531599999999</v>
      </c>
      <c r="C11" s="4">
        <v>2685.2208200000009</v>
      </c>
    </row>
    <row r="12" spans="1:3" x14ac:dyDescent="0.25">
      <c r="A12" s="3" t="s">
        <v>166</v>
      </c>
      <c r="B12" s="4">
        <v>634.82913000000008</v>
      </c>
      <c r="C12" s="4">
        <v>750.56501000000014</v>
      </c>
    </row>
    <row r="13" spans="1:3" x14ac:dyDescent="0.25">
      <c r="A13" s="3" t="s">
        <v>167</v>
      </c>
      <c r="B13" s="4">
        <v>4947.7218199999998</v>
      </c>
      <c r="C13" s="4">
        <v>5271.5100299999995</v>
      </c>
    </row>
    <row r="14" spans="1:3" x14ac:dyDescent="0.25">
      <c r="A14" s="3" t="s">
        <v>157</v>
      </c>
      <c r="B14" s="4">
        <v>51964.403750000005</v>
      </c>
      <c r="C14" s="4">
        <v>54353.92667999999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4327-18C4-486B-8A6B-D0CE518C0D56}">
  <dimension ref="B2:F8"/>
  <sheetViews>
    <sheetView workbookViewId="0">
      <selection activeCell="D18" sqref="D18"/>
    </sheetView>
  </sheetViews>
  <sheetFormatPr defaultRowHeight="15" x14ac:dyDescent="0.25"/>
  <cols>
    <col min="1" max="1" width="15.42578125" customWidth="1"/>
    <col min="2" max="2" width="20.7109375" bestFit="1" customWidth="1"/>
    <col min="3" max="3" width="19.140625" bestFit="1" customWidth="1"/>
    <col min="4" max="4" width="15.85546875" bestFit="1" customWidth="1"/>
    <col min="5" max="5" width="12.7109375" bestFit="1" customWidth="1"/>
    <col min="6" max="6" width="13.42578125" customWidth="1"/>
  </cols>
  <sheetData>
    <row r="2" spans="2:6" x14ac:dyDescent="0.25">
      <c r="B2" s="13" t="s">
        <v>170</v>
      </c>
      <c r="C2" s="13" t="s">
        <v>171</v>
      </c>
      <c r="D2" s="13" t="s">
        <v>172</v>
      </c>
      <c r="E2" s="13" t="s">
        <v>173</v>
      </c>
      <c r="F2" s="13" t="s">
        <v>174</v>
      </c>
    </row>
    <row r="3" spans="2:6" x14ac:dyDescent="0.25">
      <c r="B3" s="8">
        <v>2024</v>
      </c>
      <c r="C3" s="10">
        <f>SUMIFS(Clean_table[OP_EXPENSE], Clean_table[UNIQUE_CARRIER], "UA", Clean_table[YEAR], B3)</f>
        <v>51964.403749999998</v>
      </c>
      <c r="D3" s="8">
        <v>51967</v>
      </c>
      <c r="E3" s="11">
        <f>C3-D3</f>
        <v>-2.5962500000023283</v>
      </c>
      <c r="F3" s="12">
        <f>E3/D3</f>
        <v>-4.9959589739687268E-5</v>
      </c>
    </row>
    <row r="4" spans="2:6" x14ac:dyDescent="0.25">
      <c r="B4" s="8">
        <v>2025</v>
      </c>
      <c r="C4" s="10">
        <f>SUMIFS(Clean_table[OP_EXPENSE], Clean_table[UNIQUE_CARRIER], "UA", Clean_table[YEAR], B4)</f>
        <v>54353.926680000004</v>
      </c>
      <c r="D4" s="8">
        <v>54356</v>
      </c>
      <c r="E4" s="11">
        <f>C4-D4</f>
        <v>-2.0733199999958742</v>
      </c>
      <c r="F4" s="12">
        <f>E4/D4</f>
        <v>-3.8143351239897604E-5</v>
      </c>
    </row>
    <row r="6" spans="2:6" x14ac:dyDescent="0.25">
      <c r="B6" s="7" t="s">
        <v>175</v>
      </c>
      <c r="C6" s="7" t="s">
        <v>176</v>
      </c>
      <c r="D6" s="7" t="s">
        <v>177</v>
      </c>
    </row>
    <row r="7" spans="2:6" x14ac:dyDescent="0.25">
      <c r="B7" s="8" t="s">
        <v>178</v>
      </c>
      <c r="C7" s="9">
        <v>10119</v>
      </c>
      <c r="D7" s="9">
        <v>11396</v>
      </c>
    </row>
    <row r="8" spans="2:6" x14ac:dyDescent="0.25">
      <c r="B8" s="8" t="s">
        <v>179</v>
      </c>
      <c r="C8" s="9">
        <v>18809</v>
      </c>
      <c r="D8" s="9">
        <v>17647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5EB19-5883-4E0D-B738-566DC9505097}">
  <dimension ref="A1:K16"/>
  <sheetViews>
    <sheetView workbookViewId="0">
      <selection sqref="A1:G1"/>
    </sheetView>
  </sheetViews>
  <sheetFormatPr defaultRowHeight="15" x14ac:dyDescent="0.25"/>
  <cols>
    <col min="1" max="1" width="27.140625" bestFit="1" customWidth="1"/>
    <col min="4" max="4" width="10.28515625" bestFit="1" customWidth="1"/>
    <col min="5" max="5" width="10.85546875" bestFit="1" customWidth="1"/>
    <col min="6" max="6" width="19.7109375" bestFit="1" customWidth="1"/>
    <col min="11" max="11" width="10.28515625" bestFit="1" customWidth="1"/>
  </cols>
  <sheetData>
    <row r="1" spans="1:11" ht="15.75" x14ac:dyDescent="0.25">
      <c r="A1" s="17" t="s">
        <v>180</v>
      </c>
      <c r="B1" s="17"/>
      <c r="C1" s="17"/>
      <c r="D1" s="17"/>
      <c r="E1" s="17"/>
      <c r="F1" s="17"/>
      <c r="G1" s="17"/>
    </row>
    <row r="2" spans="1:11" x14ac:dyDescent="0.25">
      <c r="A2" t="s">
        <v>181</v>
      </c>
      <c r="B2" t="s">
        <v>142</v>
      </c>
    </row>
    <row r="3" spans="1:11" x14ac:dyDescent="0.25">
      <c r="K3" t="s">
        <v>182</v>
      </c>
    </row>
    <row r="4" spans="1:11" x14ac:dyDescent="0.25">
      <c r="A4" t="s">
        <v>183</v>
      </c>
      <c r="B4">
        <v>2024</v>
      </c>
      <c r="C4">
        <v>2025</v>
      </c>
      <c r="D4" t="s">
        <v>184</v>
      </c>
      <c r="E4" t="s">
        <v>185</v>
      </c>
      <c r="F4" t="s">
        <v>186</v>
      </c>
      <c r="K4" t="s">
        <v>105</v>
      </c>
    </row>
    <row r="5" spans="1:11" x14ac:dyDescent="0.25">
      <c r="A5" t="s">
        <v>179</v>
      </c>
      <c r="B5" s="1">
        <f>SUMIFS(Clean_table[SALARIES_BENEFITS], Clean_table[UNIQUE_CARRIER],$B$2,Clean_table[YEAR],B$4)</f>
        <v>17738.1005</v>
      </c>
      <c r="C5" s="1">
        <f>SUMIFS(Clean_table[SALARIES_BENEFITS], Clean_table[UNIQUE_CARRIER],$B$2,Clean_table[YEAR],C$4)</f>
        <v>18808.992689999999</v>
      </c>
      <c r="D5" s="1">
        <f>C5-B5</f>
        <v>1070.8921899999987</v>
      </c>
      <c r="E5" s="14">
        <f>D5/B5</f>
        <v>6.0372427701601908E-2</v>
      </c>
      <c r="F5" s="14">
        <f>D5/$D$15</f>
        <v>0.44816151894090545</v>
      </c>
      <c r="K5" t="s">
        <v>134</v>
      </c>
    </row>
    <row r="6" spans="1:11" x14ac:dyDescent="0.25">
      <c r="A6" t="s">
        <v>178</v>
      </c>
      <c r="B6" s="1">
        <f>SUMIFS(Clean_table[AIRCRAFT_FUEL], Clean_table[UNIQUE_CARRIER],$B$2,Clean_table[YEAR],B$4)</f>
        <v>10509.24195</v>
      </c>
      <c r="C6" s="1">
        <f>SUMIFS(Clean_table[AIRCRAFT_FUEL], Clean_table[UNIQUE_CARRIER],$B$2,Clean_table[YEAR],C$4)</f>
        <v>10119.49164</v>
      </c>
      <c r="D6" s="1">
        <f t="shared" ref="D6:D15" si="0">C6-B6</f>
        <v>-389.75030999999944</v>
      </c>
      <c r="E6" s="14">
        <f t="shared" ref="E6:E15" si="1">D6/B6</f>
        <v>-3.7086434193286361E-2</v>
      </c>
      <c r="F6" s="14">
        <f t="shared" ref="F6:F15" si="2">D6/$D$15</f>
        <v>-0.16310800710694207</v>
      </c>
      <c r="K6" t="s">
        <v>142</v>
      </c>
    </row>
    <row r="7" spans="1:11" x14ac:dyDescent="0.25">
      <c r="A7" t="s">
        <v>191</v>
      </c>
      <c r="B7" s="1">
        <f>SUMIFS(Clean_table[MAINT_MATERIAL], Clean_table[UNIQUE_CARRIER],$B$2,Clean_table[YEAR],B$4)</f>
        <v>739.28924999999992</v>
      </c>
      <c r="C7" s="1">
        <f>SUMIFS(Clean_table[MAINT_MATERIAL], Clean_table[UNIQUE_CARRIER],$B$2,Clean_table[YEAR],C$4)</f>
        <v>868.49080000000004</v>
      </c>
      <c r="D7" s="1">
        <f t="shared" si="0"/>
        <v>129.20155000000011</v>
      </c>
      <c r="E7" s="14">
        <f t="shared" si="1"/>
        <v>0.17476454581207576</v>
      </c>
      <c r="F7" s="14">
        <f t="shared" si="2"/>
        <v>5.4070020715642222E-2</v>
      </c>
      <c r="K7" t="s">
        <v>99</v>
      </c>
    </row>
    <row r="8" spans="1:11" x14ac:dyDescent="0.25">
      <c r="A8" t="s">
        <v>187</v>
      </c>
      <c r="B8" s="1">
        <f>SUMIFS(Clean_table[MATERIALS_TOTAL], Clean_table[UNIQUE_CARRIER],$B$2,Clean_table[YEAR],B$4)-B7-B6</f>
        <v>1784.2365200000004</v>
      </c>
      <c r="C8" s="1">
        <f>SUMIFS(Clean_table[MATERIALS_TOTAL], Clean_table[UNIQUE_CARRIER],$B$2,Clean_table[YEAR],C$4)-C7-C6</f>
        <v>2004.2939199999983</v>
      </c>
      <c r="D8" s="1">
        <f t="shared" si="0"/>
        <v>220.05739999999787</v>
      </c>
      <c r="E8" s="14">
        <f t="shared" si="1"/>
        <v>0.12333420907671917</v>
      </c>
      <c r="F8" s="14">
        <f t="shared" si="2"/>
        <v>9.2092611711161676E-2</v>
      </c>
    </row>
    <row r="9" spans="1:11" x14ac:dyDescent="0.25">
      <c r="A9" t="s">
        <v>188</v>
      </c>
      <c r="B9" s="1">
        <f>SUMIFS(Clean_table[SERVICES_TOTAL], Clean_table[UNIQUE_CARRIER],$B$2,Clean_table[YEAR],B$4)</f>
        <v>9155.8888599999991</v>
      </c>
      <c r="C9" s="1">
        <f>SUMIFS(Clean_table[SERVICES_TOTAL], Clean_table[UNIQUE_CARRIER],$B$2,Clean_table[YEAR],C$4)</f>
        <v>9622.9796100000003</v>
      </c>
      <c r="D9" s="1">
        <f t="shared" si="0"/>
        <v>467.09075000000121</v>
      </c>
      <c r="E9" s="14">
        <f t="shared" si="1"/>
        <v>5.1015336374452373E-2</v>
      </c>
      <c r="F9" s="14">
        <f t="shared" si="2"/>
        <v>0.19547448562795808</v>
      </c>
    </row>
    <row r="10" spans="1:11" x14ac:dyDescent="0.25">
      <c r="A10" t="s">
        <v>189</v>
      </c>
      <c r="B10" s="1">
        <f>SUMIFS(Clean_table[LANDING_FEES], Clean_table[UNIQUE_CARRIER],$B$2,Clean_table[YEAR],B$4)</f>
        <v>1308.1356000000001</v>
      </c>
      <c r="C10" s="1">
        <f>SUMIFS(Clean_table[LANDING_FEES], Clean_table[UNIQUE_CARRIER],$B$2,Clean_table[YEAR],C$4)</f>
        <v>1470.14291</v>
      </c>
      <c r="D10" s="1">
        <f t="shared" si="0"/>
        <v>162.00730999999996</v>
      </c>
      <c r="E10" s="14">
        <f t="shared" si="1"/>
        <v>0.12384596061753839</v>
      </c>
      <c r="F10" s="14">
        <f t="shared" si="2"/>
        <v>6.7799021047235591E-2</v>
      </c>
    </row>
    <row r="11" spans="1:11" x14ac:dyDescent="0.25">
      <c r="A11" t="s">
        <v>190</v>
      </c>
      <c r="B11" s="1">
        <f>SUMIFS(Clean_table[RENTALS], Clean_table[UNIQUE_CARRIER],$B$2,Clean_table[YEAR],B$4)</f>
        <v>2325.7064599999999</v>
      </c>
      <c r="C11" s="1">
        <f>SUMIFS(Clean_table[RENTALS], Clean_table[UNIQUE_CARRIER],$B$2,Clean_table[YEAR],C$4)</f>
        <v>2637.2566400000001</v>
      </c>
      <c r="D11" s="1">
        <f t="shared" si="0"/>
        <v>311.55018000000018</v>
      </c>
      <c r="E11" s="14">
        <f t="shared" si="1"/>
        <v>0.13395937335961142</v>
      </c>
      <c r="F11" s="14">
        <f t="shared" si="2"/>
        <v>0.13038175383005898</v>
      </c>
    </row>
    <row r="12" spans="1:11" x14ac:dyDescent="0.25">
      <c r="A12" t="s">
        <v>192</v>
      </c>
      <c r="B12" s="1">
        <f>SUMIFS(Clean_table[DEPRECIATION],Clean_table[UNIQUE_CARRIER],$B$2,Clean_table[YEAR],B$4)+SUMIFS(Clean_table[AMORTIZATION],Clean_table[UNIQUE_CARRIER],$B$2,Clean_table[YEAR],B$4)</f>
        <v>2821.2538</v>
      </c>
      <c r="C12" s="1">
        <f>SUMIFS(Clean_table[DEPRECIATION],Clean_table[UNIQUE_CARRIER],$B$2,Clean_table[YEAR],C$4)+SUMIFS(Clean_table[AMORTIZATION],Clean_table[UNIQUE_CARRIER],$B$2,Clean_table[YEAR],C$4)</f>
        <v>2800.2034899999999</v>
      </c>
      <c r="D12" s="1">
        <f t="shared" si="0"/>
        <v>-21.050310000000081</v>
      </c>
      <c r="E12" s="14">
        <f t="shared" si="1"/>
        <v>-7.4613315540771556E-3</v>
      </c>
      <c r="F12" s="14">
        <f t="shared" si="2"/>
        <v>-8.8094198387766564E-3</v>
      </c>
    </row>
    <row r="13" spans="1:11" x14ac:dyDescent="0.25">
      <c r="A13" t="s">
        <v>196</v>
      </c>
      <c r="B13" s="1">
        <f>SUMIFS(Clean_table[TRANS_EXPENSE], Clean_table[UNIQUE_CARRIER],$B$2,Clean_table[YEAR],B$4)</f>
        <v>4947.7218199999998</v>
      </c>
      <c r="C13" s="1">
        <f>SUMIFS(Clean_table[TRANS_EXPENSE], Clean_table[UNIQUE_CARRIER],$B$2,Clean_table[YEAR],C$4)</f>
        <v>5271.5100299999995</v>
      </c>
      <c r="D13" s="1">
        <f t="shared" si="0"/>
        <v>323.78820999999971</v>
      </c>
      <c r="E13" s="14">
        <f t="shared" si="1"/>
        <v>6.5441878460337471E-2</v>
      </c>
      <c r="F13" s="14">
        <f t="shared" si="2"/>
        <v>0.13550329096036914</v>
      </c>
    </row>
    <row r="14" spans="1:11" x14ac:dyDescent="0.25">
      <c r="A14" t="s">
        <v>195</v>
      </c>
      <c r="B14" s="1">
        <f>SUMIFS(Clean_table[OTHER], Clean_table[UNIQUE_CARRIER],$B$2,Clean_table[YEAR],B$4)</f>
        <v>634.82913000000008</v>
      </c>
      <c r="C14" s="1">
        <f>SUMIFS(Clean_table[OTHER], Clean_table[UNIQUE_CARRIER],$B$2,Clean_table[YEAR],C$4)</f>
        <v>750.56501000000003</v>
      </c>
      <c r="D14" s="1">
        <f t="shared" si="0"/>
        <v>115.73587999999995</v>
      </c>
      <c r="E14" s="14">
        <f t="shared" si="1"/>
        <v>0.18231028560393872</v>
      </c>
      <c r="F14" s="14">
        <f t="shared" si="2"/>
        <v>4.8434724112389319E-2</v>
      </c>
    </row>
    <row r="15" spans="1:11" x14ac:dyDescent="0.25">
      <c r="A15" t="s">
        <v>194</v>
      </c>
      <c r="B15">
        <f>SUM(B5:B14)</f>
        <v>51964.403890000001</v>
      </c>
      <c r="C15">
        <f>SUM(C5:C14)</f>
        <v>54353.926739999995</v>
      </c>
      <c r="D15" s="1">
        <f t="shared" si="0"/>
        <v>2389.5228499999939</v>
      </c>
      <c r="E15" s="14">
        <f t="shared" si="1"/>
        <v>4.5983840304571109E-2</v>
      </c>
      <c r="F15" s="14">
        <f t="shared" si="2"/>
        <v>1</v>
      </c>
    </row>
    <row r="16" spans="1:11" x14ac:dyDescent="0.25">
      <c r="A16" t="s">
        <v>193</v>
      </c>
      <c r="B16" s="1">
        <f>B15-SUMIFS(Clean_table[OP_EXPENSE],Clean_table[UNIQUE_CARRIER], $B$2, Clean_table[YEAR], B$4)</f>
        <v>1.4000000373926014E-4</v>
      </c>
      <c r="C16" s="1">
        <f>C15-SUMIFS(Clean_table[OP_EXPENSE],Clean_table[UNIQUE_CARRIER], $B$2, Clean_table[YEAR], C$4)</f>
        <v>5.9999991208314896E-5</v>
      </c>
      <c r="D16" s="1"/>
      <c r="E16" s="14"/>
      <c r="F16" s="14"/>
    </row>
  </sheetData>
  <mergeCells count="1">
    <mergeCell ref="A1:G1"/>
  </mergeCells>
  <dataValidations count="1">
    <dataValidation type="list" allowBlank="1" showInputMessage="1" showErrorMessage="1" sqref="B2" xr:uid="{825DFCC8-2A6A-42FE-A2B3-43A44714603F}">
      <formula1>$K$4:$K$7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3E10F-3B4F-4783-9D2A-EC9A09EFEB4C}">
  <dimension ref="A1:G7"/>
  <sheetViews>
    <sheetView workbookViewId="0">
      <selection activeCell="B5" sqref="B5"/>
    </sheetView>
  </sheetViews>
  <sheetFormatPr defaultRowHeight="15" x14ac:dyDescent="0.25"/>
  <cols>
    <col min="2" max="3" width="17" bestFit="1" customWidth="1"/>
    <col min="4" max="4" width="16.140625" bestFit="1" customWidth="1"/>
    <col min="5" max="5" width="19.5703125" bestFit="1" customWidth="1"/>
    <col min="6" max="6" width="16.7109375" bestFit="1" customWidth="1"/>
    <col min="7" max="7" width="15.85546875" bestFit="1" customWidth="1"/>
  </cols>
  <sheetData>
    <row r="1" spans="1:7" ht="15.75" x14ac:dyDescent="0.25">
      <c r="A1" s="17" t="s">
        <v>197</v>
      </c>
      <c r="B1" s="17"/>
      <c r="C1" s="17"/>
      <c r="D1" s="17"/>
      <c r="E1" s="17"/>
      <c r="F1" s="17"/>
      <c r="G1" s="17"/>
    </row>
    <row r="3" spans="1:7" x14ac:dyDescent="0.25">
      <c r="A3" t="s">
        <v>181</v>
      </c>
      <c r="B3" t="s">
        <v>198</v>
      </c>
      <c r="C3" t="s">
        <v>199</v>
      </c>
      <c r="D3" t="s">
        <v>200</v>
      </c>
      <c r="E3" t="s">
        <v>201</v>
      </c>
      <c r="F3" t="s">
        <v>202</v>
      </c>
      <c r="G3" t="s">
        <v>203</v>
      </c>
    </row>
    <row r="4" spans="1:7" x14ac:dyDescent="0.25">
      <c r="A4" t="s">
        <v>142</v>
      </c>
      <c r="B4" s="1">
        <f>SUMIFS(Clean_table[OP_EXPENSE],Clean_table[UNIQUE_CARRIER],$A4,Clean_table[YEAR],2024)</f>
        <v>51964.403749999998</v>
      </c>
      <c r="C4" s="1">
        <f>SUMIFS(Clean_table[OP_EXPENSE],Clean_table[UNIQUE_CARRIER],$A4,Clean_table[YEAR],2025)</f>
        <v>54353.926680000004</v>
      </c>
      <c r="D4" s="14">
        <f>C4/B4-1</f>
        <v>4.5983841967974115E-2</v>
      </c>
      <c r="E4" s="14">
        <f>(C4-SUMIFS(Clean_table[AIRCRAFT_FUEL],Clean_table[UNIQUE_CARRIER],$A4,Clean_table[YEAR],2025))/(B4-SUMIFS(Clean_table[AIRCRAFT_FUEL],Clean_table[UNIQUE_CARRIER],$A4,Clean_table[YEAR],2024))-1</f>
        <v>6.7042875225251208E-2</v>
      </c>
      <c r="F4" s="14">
        <f>SUMIFS(Clean_table[SALARIES_BENEFITS],Clean_table[UNIQUE_CARRIER],$A4,Clean_table[YEAR],2025)/SUMIFS(Clean_table[SALARIES_BENEFITS],Clean_table[UNIQUE_CARRIER],$A4,Clean_table[YEAR],2024)-1</f>
        <v>6.0372427701602005E-2</v>
      </c>
      <c r="G4" s="14">
        <f>SUMIFS(Clean_table[AIRCRAFT_FUEL],Clean_table[UNIQUE_CARRIER],$A4,Clean_table[YEAR],2025)/SUMIFS(Clean_table[AIRCRAFT_FUEL],Clean_table[UNIQUE_CARRIER],$A4,Clean_table[YEAR],2024)-1</f>
        <v>-3.7086434193286388E-2</v>
      </c>
    </row>
    <row r="5" spans="1:7" x14ac:dyDescent="0.25">
      <c r="A5" t="s">
        <v>134</v>
      </c>
      <c r="B5" s="1">
        <f>SUMIFS(Clean_table[OP_EXPENSE],Clean_table[UNIQUE_CARRIER],$A5,Clean_table[YEAR],2024)</f>
        <v>55778.397999999994</v>
      </c>
      <c r="C5" s="1">
        <f>SUMIFS(Clean_table[OP_EXPENSE],Clean_table[UNIQUE_CARRIER],$A5,Clean_table[YEAR],2025)</f>
        <v>57822.320999999996</v>
      </c>
      <c r="D5" s="14">
        <f t="shared" ref="D5:D7" si="0">C5/B5-1</f>
        <v>3.6643630388954573E-2</v>
      </c>
      <c r="E5" s="14">
        <f>(C5-SUMIFS(Clean_table[AIRCRAFT_FUEL],Clean_table[UNIQUE_CARRIER],$A5,Clean_table[YEAR],2025))/(B5-SUMIFS(Clean_table[AIRCRAFT_FUEL],Clean_table[UNIQUE_CARRIER],$A5,Clean_table[YEAR],2024))-1</f>
        <v>6.0913463719176386E-2</v>
      </c>
      <c r="F5" s="14">
        <f>SUMIFS(Clean_table[SALARIES_BENEFITS],Clean_table[UNIQUE_CARRIER],$A5,Clean_table[YEAR],2025)/SUMIFS(Clean_table[SALARIES_BENEFITS],Clean_table[UNIQUE_CARRIER],$A5,Clean_table[YEAR],2024)-1</f>
        <v>7.2657949666068422E-2</v>
      </c>
      <c r="G5" s="14">
        <f>SUMIFS(Clean_table[AIRCRAFT_FUEL],Clean_table[UNIQUE_CARRIER],$A5,Clean_table[YEAR],2025)/SUMIFS(Clean_table[AIRCRAFT_FUEL],Clean_table[UNIQUE_CARRIER],$A5,Clean_table[YEAR],2024)-1</f>
        <v>-8.220384165137129E-2</v>
      </c>
    </row>
    <row r="6" spans="1:7" x14ac:dyDescent="0.25">
      <c r="A6" t="s">
        <v>105</v>
      </c>
      <c r="B6" s="1">
        <f>SUMIFS(Clean_table[OP_EXPENSE],Clean_table[UNIQUE_CARRIER],$A6,Clean_table[YEAR],2024)</f>
        <v>51549.972260000002</v>
      </c>
      <c r="C6" s="1">
        <f>SUMIFS(Clean_table[OP_EXPENSE],Clean_table[UNIQUE_CARRIER],$A6,Clean_table[YEAR],2025)</f>
        <v>53114.78777000001</v>
      </c>
      <c r="D6" s="14">
        <f t="shared" si="0"/>
        <v>3.0355312358028463E-2</v>
      </c>
      <c r="E6" s="14">
        <f>(C6-SUMIFS(Clean_table[AIRCRAFT_FUEL],Clean_table[UNIQUE_CARRIER],$A6,Clean_table[YEAR],2025))/(B6-SUMIFS(Clean_table[AIRCRAFT_FUEL],Clean_table[UNIQUE_CARRIER],$A6,Clean_table[YEAR],2024))-1</f>
        <v>5.5265186371342923E-2</v>
      </c>
      <c r="F6" s="14">
        <f>SUMIFS(Clean_table[SALARIES_BENEFITS],Clean_table[UNIQUE_CARRIER],$A6,Clean_table[YEAR],2025)/SUMIFS(Clean_table[SALARIES_BENEFITS],Clean_table[UNIQUE_CARRIER],$A6,Clean_table[YEAR],2024)-1</f>
        <v>9.6502259758453501E-2</v>
      </c>
      <c r="G6" s="14">
        <f>SUMIFS(Clean_table[AIRCRAFT_FUEL],Clean_table[UNIQUE_CARRIER],$A6,Clean_table[YEAR],2025)/SUMIFS(Clean_table[AIRCRAFT_FUEL],Clean_table[UNIQUE_CARRIER],$A6,Clean_table[YEAR],2024)-1</f>
        <v>-8.1694482320357031E-2</v>
      </c>
    </row>
    <row r="7" spans="1:7" x14ac:dyDescent="0.25">
      <c r="A7" t="s">
        <v>99</v>
      </c>
      <c r="B7" s="1">
        <f>SUMIFS(Clean_table[OP_EXPENSE],Clean_table[UNIQUE_CARRIER],$A7,Clean_table[YEAR],2024)</f>
        <v>27162.302000000003</v>
      </c>
      <c r="C7" s="1">
        <f>SUMIFS(Clean_table[OP_EXPENSE],Clean_table[UNIQUE_CARRIER],$A7,Clean_table[YEAR],2025)</f>
        <v>27634.565999999999</v>
      </c>
      <c r="D7" s="14">
        <f t="shared" si="0"/>
        <v>1.7386744319387804E-2</v>
      </c>
      <c r="E7" s="14">
        <f>(C7-SUMIFS(Clean_table[AIRCRAFT_FUEL],Clean_table[UNIQUE_CARRIER],$A7,Clean_table[YEAR],2025))/(B7-SUMIFS(Clean_table[AIRCRAFT_FUEL],Clean_table[UNIQUE_CARRIER],$A7,Clean_table[YEAR],2024))-1</f>
        <v>4.8910628798817912E-2</v>
      </c>
      <c r="F7" s="14">
        <f>SUMIFS(Clean_table[SALARIES_BENEFITS],Clean_table[UNIQUE_CARRIER],$A7,Clean_table[YEAR],2025)/SUMIFS(Clean_table[SALARIES_BENEFITS],Clean_table[UNIQUE_CARRIER],$A7,Clean_table[YEAR],2024)-1</f>
        <v>6.2087188926931658E-2</v>
      </c>
      <c r="G7" s="14">
        <f>SUMIFS(Clean_table[AIRCRAFT_FUEL],Clean_table[UNIQUE_CARRIER],$A7,Clean_table[YEAR],2025)/SUMIFS(Clean_table[AIRCRAFT_FUEL],Clean_table[UNIQUE_CARRIER],$A7,Clean_table[YEAR],2024)-1</f>
        <v>-9.8418042117636939E-2</v>
      </c>
    </row>
  </sheetData>
  <mergeCells count="1"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2AFF6-5C0A-4C14-A7DA-736189969DE8}">
  <dimension ref="A3:M9"/>
  <sheetViews>
    <sheetView workbookViewId="0">
      <selection activeCell="B4" sqref="A3:M7"/>
    </sheetView>
  </sheetViews>
  <sheetFormatPr defaultRowHeight="15" x14ac:dyDescent="0.25"/>
  <cols>
    <col min="2" max="3" width="23.42578125" bestFit="1" customWidth="1"/>
    <col min="4" max="5" width="17.85546875" bestFit="1" customWidth="1"/>
    <col min="6" max="7" width="16.28515625" bestFit="1" customWidth="1"/>
    <col min="8" max="8" width="14.85546875" bestFit="1" customWidth="1"/>
    <col min="9" max="9" width="12.7109375" bestFit="1" customWidth="1"/>
    <col min="10" max="10" width="22.7109375" bestFit="1" customWidth="1"/>
    <col min="11" max="11" width="19.42578125" bestFit="1" customWidth="1"/>
    <col min="12" max="12" width="17" bestFit="1" customWidth="1"/>
  </cols>
  <sheetData>
    <row r="3" spans="1:13" x14ac:dyDescent="0.25">
      <c r="A3" s="6" t="s">
        <v>181</v>
      </c>
      <c r="B3" s="6" t="s">
        <v>204</v>
      </c>
      <c r="C3" s="6" t="s">
        <v>205</v>
      </c>
      <c r="D3" s="6" t="s">
        <v>206</v>
      </c>
      <c r="E3" s="6" t="s">
        <v>207</v>
      </c>
      <c r="F3" t="s">
        <v>209</v>
      </c>
      <c r="G3" t="s">
        <v>210</v>
      </c>
      <c r="H3" t="s">
        <v>211</v>
      </c>
      <c r="I3" t="s">
        <v>212</v>
      </c>
      <c r="J3" t="s">
        <v>213</v>
      </c>
      <c r="K3" t="s">
        <v>214</v>
      </c>
      <c r="L3" t="s">
        <v>215</v>
      </c>
      <c r="M3" t="s">
        <v>169</v>
      </c>
    </row>
    <row r="4" spans="1:13" x14ac:dyDescent="0.25">
      <c r="A4" s="6" t="s">
        <v>142</v>
      </c>
      <c r="B4" s="6">
        <v>11756</v>
      </c>
      <c r="C4" s="6">
        <v>11396</v>
      </c>
      <c r="D4" s="6">
        <v>4444</v>
      </c>
      <c r="E4" s="6">
        <v>4663</v>
      </c>
      <c r="F4" s="1">
        <f>B4/D4</f>
        <v>2.6453645364536453</v>
      </c>
      <c r="G4" s="15">
        <f>C4/E4</f>
        <v>2.4439202230323827</v>
      </c>
      <c r="H4" s="14">
        <f>E4/D4-1</f>
        <v>4.9279927992799344E-2</v>
      </c>
      <c r="I4" s="14">
        <f>G4/F4-1</f>
        <v>-7.6149925896911497E-2</v>
      </c>
      <c r="J4">
        <f>C4-B4</f>
        <v>-360</v>
      </c>
      <c r="K4" s="4">
        <f>(E4-D4)*F4</f>
        <v>579.33483348334835</v>
      </c>
      <c r="L4" s="16">
        <f>(G4-F4)*E4</f>
        <v>-939.33483348334789</v>
      </c>
      <c r="M4">
        <f>J4-K4-L4</f>
        <v>0</v>
      </c>
    </row>
    <row r="5" spans="1:13" x14ac:dyDescent="0.25">
      <c r="A5" s="6" t="s">
        <v>134</v>
      </c>
      <c r="B5" s="6">
        <v>10566</v>
      </c>
      <c r="C5" s="6">
        <v>9819</v>
      </c>
      <c r="D5" s="6">
        <v>4114</v>
      </c>
      <c r="E5" s="6">
        <v>4269</v>
      </c>
      <c r="F5" s="1">
        <f t="shared" ref="F5:F7" si="0">B5/D5</f>
        <v>2.5683033543996112</v>
      </c>
      <c r="G5" s="15">
        <f t="shared" ref="G5:G7" si="1">C5/E5</f>
        <v>2.3000702740688688</v>
      </c>
      <c r="H5" s="14">
        <f t="shared" ref="H5:H7" si="2">E5/D5-1</f>
        <v>3.7676227515799798E-2</v>
      </c>
      <c r="I5" s="14">
        <f t="shared" ref="I5:I7" si="3">G5/F5-1</f>
        <v>-0.1044397967519094</v>
      </c>
      <c r="J5">
        <f t="shared" ref="J5:J7" si="4">C5-B5</f>
        <v>-747</v>
      </c>
      <c r="K5" s="4">
        <f t="shared" ref="K5:K6" si="5">(E5-D5)*F5</f>
        <v>398.08701993193972</v>
      </c>
      <c r="L5" s="16">
        <f>(G5-F5)*E5</f>
        <v>-1145.0870199319395</v>
      </c>
      <c r="M5">
        <f t="shared" ref="M5:M6" si="6">J5-K5-L5</f>
        <v>0</v>
      </c>
    </row>
    <row r="6" spans="1:13" x14ac:dyDescent="0.25">
      <c r="A6" s="6" t="s">
        <v>105</v>
      </c>
      <c r="B6" s="6">
        <v>11418</v>
      </c>
      <c r="C6" s="6">
        <v>10718</v>
      </c>
      <c r="D6" s="6">
        <v>4391</v>
      </c>
      <c r="E6" s="6">
        <v>4488</v>
      </c>
      <c r="F6" s="1">
        <f t="shared" si="0"/>
        <v>2.6003188339785925</v>
      </c>
      <c r="G6" s="15">
        <f t="shared" si="1"/>
        <v>2.3881461675579323</v>
      </c>
      <c r="H6" s="14">
        <f t="shared" si="2"/>
        <v>2.2090639945342661E-2</v>
      </c>
      <c r="I6" s="14">
        <f t="shared" si="3"/>
        <v>-8.1594865848057418E-2</v>
      </c>
      <c r="J6">
        <f t="shared" si="4"/>
        <v>-700</v>
      </c>
      <c r="K6" s="4">
        <f t="shared" si="5"/>
        <v>252.23092689592349</v>
      </c>
      <c r="L6" s="16">
        <f t="shared" ref="L6" si="7">(G6-F6)*E6</f>
        <v>-952.23092689592318</v>
      </c>
      <c r="M6">
        <f t="shared" si="6"/>
        <v>0</v>
      </c>
    </row>
    <row r="7" spans="1:13" x14ac:dyDescent="0.25">
      <c r="A7" s="6" t="s">
        <v>99</v>
      </c>
      <c r="B7" s="6">
        <v>5812</v>
      </c>
      <c r="C7" s="6">
        <v>5240</v>
      </c>
      <c r="D7" s="6">
        <v>2202</v>
      </c>
      <c r="E7" s="6">
        <v>2174</v>
      </c>
      <c r="F7" s="1">
        <f t="shared" si="0"/>
        <v>2.639418710263397</v>
      </c>
      <c r="G7" s="15">
        <f t="shared" si="1"/>
        <v>2.4103035878564856</v>
      </c>
      <c r="H7" s="14">
        <f t="shared" si="2"/>
        <v>-1.2715712988192518E-2</v>
      </c>
      <c r="I7" s="14">
        <f t="shared" si="3"/>
        <v>-8.6805144449418226E-2</v>
      </c>
      <c r="J7">
        <f t="shared" si="4"/>
        <v>-572</v>
      </c>
      <c r="K7" s="4">
        <f>(E7-D7)*F7</f>
        <v>-73.903723887375122</v>
      </c>
      <c r="L7" s="16">
        <f>(G7-F7)*E7</f>
        <v>-498.0962761126255</v>
      </c>
      <c r="M7" s="4">
        <f>J7-K7-L7</f>
        <v>6.2527760746888816E-13</v>
      </c>
    </row>
    <row r="9" spans="1:13" x14ac:dyDescent="0.25">
      <c r="A9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</vt:lpstr>
      <vt:lpstr>Clean</vt:lpstr>
      <vt:lpstr>Summary</vt:lpstr>
      <vt:lpstr>UA_Lines</vt:lpstr>
      <vt:lpstr>Recon</vt:lpstr>
      <vt:lpstr>Variance</vt:lpstr>
      <vt:lpstr>Peers</vt:lpstr>
      <vt:lpstr>Fuel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J</dc:creator>
  <cp:lastModifiedBy>A J</cp:lastModifiedBy>
  <dcterms:created xsi:type="dcterms:W3CDTF">2026-10-11T16:15:23Z</dcterms:created>
  <dcterms:modified xsi:type="dcterms:W3CDTF">2026-10-11T17:57:42Z</dcterms:modified>
</cp:coreProperties>
</file>